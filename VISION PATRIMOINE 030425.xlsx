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riemzahzouh/Downloads/"/>
    </mc:Choice>
  </mc:AlternateContent>
  <xr:revisionPtr revIDLastSave="0" documentId="13_ncr:1_{EE793C54-231C-B64B-8DC2-D16E5D8D1ADC}" xr6:coauthVersionLast="47" xr6:coauthVersionMax="47" xr10:uidLastSave="{00000000-0000-0000-0000-000000000000}"/>
  <bookViews>
    <workbookView xWindow="0" yWindow="680" windowWidth="17280" windowHeight="20560" xr2:uid="{6CB81750-3DCD-D445-BC8F-C517717096A7}"/>
  </bookViews>
  <sheets>
    <sheet name="Vision patrimoine" sheetId="1" r:id="rId1"/>
    <sheet name="Amort Beneduc" sheetId="2" r:id="rId2"/>
    <sheet name="Amort SCI La vista" sheetId="5" r:id="rId3"/>
    <sheet name="Amort Libération" sheetId="6" r:id="rId4"/>
    <sheet name="Amort Troika" sheetId="3" r:id="rId5"/>
    <sheet name="Residence Principale" sheetId="8" r:id="rId6"/>
    <sheet name="Bd liberation Beneduc" sheetId="9" r:id="rId7"/>
  </sheets>
  <definedNames>
    <definedName name="année">'Amort Beneduc'!$D$193:$D$209</definedName>
    <definedName name="mois">'Amort Beneduc'!$C$7:$C$18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6" i="2" l="1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45" i="2"/>
  <c r="F13" i="1" a="1"/>
  <c r="F13" i="1" s="1"/>
  <c r="F12" i="1" a="1"/>
  <c r="F12" i="1" s="1"/>
  <c r="D6" i="9"/>
  <c r="E6" i="9"/>
  <c r="E5" i="9"/>
  <c r="F6" i="9" s="1"/>
  <c r="G7" i="9"/>
  <c r="G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6" i="9"/>
  <c r="G15" i="9"/>
  <c r="G10" i="9"/>
  <c r="G11" i="9"/>
  <c r="G12" i="9"/>
  <c r="G13" i="9"/>
  <c r="G14" i="9"/>
  <c r="G9" i="9"/>
  <c r="G8" i="9"/>
  <c r="J6" i="9"/>
  <c r="G5" i="9"/>
  <c r="F5" i="9"/>
  <c r="I13" i="1"/>
  <c r="J13" i="1"/>
  <c r="K36" i="1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M45" i="1"/>
  <c r="J44" i="1" a="1"/>
  <c r="J44" i="1" s="1"/>
  <c r="I44" i="1" a="1"/>
  <c r="I44" i="1" s="1"/>
  <c r="H44" i="1" a="1"/>
  <c r="H44" i="1" s="1"/>
  <c r="H45" i="1" s="1"/>
  <c r="G44" i="1" a="1"/>
  <c r="G44" i="1" s="1"/>
  <c r="G45" i="1" s="1"/>
  <c r="K45" i="1"/>
  <c r="D40" i="1" a="1"/>
  <c r="D40" i="1" s="1"/>
  <c r="E44" i="1"/>
  <c r="E6" i="8"/>
  <c r="D6" i="8" s="1"/>
  <c r="D7" i="8" s="1"/>
  <c r="D8" i="8" s="1"/>
  <c r="D9" i="8" s="1"/>
  <c r="D10" i="8" s="1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5" i="8"/>
  <c r="E7" i="9" l="1"/>
  <c r="D7" i="9"/>
  <c r="F7" i="9" s="1"/>
  <c r="E8" i="9" s="1"/>
  <c r="L41" i="1"/>
  <c r="M41" i="1"/>
  <c r="D11" i="8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F44" i="1" a="1"/>
  <c r="F44" i="1" s="1"/>
  <c r="F45" i="1" s="1"/>
  <c r="D41" i="1"/>
  <c r="E45" i="1"/>
  <c r="J45" i="1"/>
  <c r="I45" i="1"/>
  <c r="K41" i="1" l="1"/>
  <c r="J41" i="1"/>
  <c r="F27" i="5"/>
  <c r="H27" i="5" s="1"/>
  <c r="G27" i="5" s="1"/>
  <c r="F28" i="5" s="1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J140" i="5"/>
  <c r="J139" i="5"/>
  <c r="J138" i="5"/>
  <c r="J137" i="5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H28" i="5" l="1"/>
  <c r="G28" i="5" s="1"/>
  <c r="F29" i="5" s="1"/>
  <c r="H29" i="5" l="1"/>
  <c r="G29" i="5" s="1"/>
  <c r="F30" i="5" s="1"/>
  <c r="H30" i="5" l="1"/>
  <c r="G30" i="5" s="1"/>
  <c r="F31" i="5" s="1"/>
  <c r="H31" i="5" l="1"/>
  <c r="G31" i="5" s="1"/>
  <c r="F32" i="5" s="1"/>
  <c r="H32" i="5" l="1"/>
  <c r="G32" i="5" s="1"/>
  <c r="F33" i="5" s="1"/>
  <c r="H33" i="5" l="1"/>
  <c r="G33" i="5" s="1"/>
  <c r="F34" i="5" s="1"/>
  <c r="F35" i="1" s="1" a="1"/>
  <c r="F35" i="1" s="1"/>
  <c r="H34" i="5" l="1"/>
  <c r="G34" i="5" s="1"/>
  <c r="F35" i="5" s="1"/>
  <c r="H35" i="5" l="1"/>
  <c r="G35" i="5" s="1"/>
  <c r="F36" i="5" s="1"/>
  <c r="H36" i="5" l="1"/>
  <c r="G36" i="5" s="1"/>
  <c r="F37" i="5" s="1"/>
  <c r="H37" i="5" l="1"/>
  <c r="G37" i="5" s="1"/>
  <c r="F38" i="5" s="1"/>
  <c r="H38" i="5" l="1"/>
  <c r="G38" i="5" s="1"/>
  <c r="F39" i="5" s="1"/>
  <c r="H39" i="5" l="1"/>
  <c r="G39" i="5" s="1"/>
  <c r="F40" i="5" s="1"/>
  <c r="H40" i="5" l="1"/>
  <c r="G40" i="5" s="1"/>
  <c r="F41" i="5" s="1"/>
  <c r="H41" i="5" l="1"/>
  <c r="G41" i="5" s="1"/>
  <c r="F42" i="5" s="1"/>
  <c r="H42" i="5" l="1"/>
  <c r="G42" i="5" s="1"/>
  <c r="F43" i="5" s="1"/>
  <c r="H43" i="5" l="1"/>
  <c r="G43" i="5" s="1"/>
  <c r="F44" i="5" s="1"/>
  <c r="H44" i="5" l="1"/>
  <c r="G44" i="5" s="1"/>
  <c r="F45" i="5"/>
  <c r="H45" i="5" l="1"/>
  <c r="G45" i="5" s="1"/>
  <c r="F46" i="5" s="1"/>
  <c r="H46" i="5" l="1"/>
  <c r="G46" i="5" s="1"/>
  <c r="F47" i="5" s="1"/>
  <c r="H47" i="5" l="1"/>
  <c r="G47" i="5" s="1"/>
  <c r="F48" i="5" s="1"/>
  <c r="H48" i="5" l="1"/>
  <c r="G48" i="5" s="1"/>
  <c r="F49" i="5" s="1"/>
  <c r="H49" i="5" l="1"/>
  <c r="G49" i="5" s="1"/>
  <c r="F50" i="5" s="1"/>
  <c r="H50" i="5" l="1"/>
  <c r="G50" i="5" s="1"/>
  <c r="F51" i="5" s="1"/>
  <c r="H51" i="5" l="1"/>
  <c r="G51" i="5" s="1"/>
  <c r="F52" i="5" s="1"/>
  <c r="H52" i="5" l="1"/>
  <c r="G52" i="5" s="1"/>
  <c r="F53" i="5" s="1"/>
  <c r="H53" i="5" l="1"/>
  <c r="G53" i="5" s="1"/>
  <c r="F54" i="5" s="1"/>
  <c r="H54" i="5" l="1"/>
  <c r="G54" i="5" s="1"/>
  <c r="F55" i="5" s="1"/>
  <c r="H55" i="5" l="1"/>
  <c r="G55" i="5" s="1"/>
  <c r="F56" i="5" s="1"/>
  <c r="H56" i="5" l="1"/>
  <c r="G56" i="5" s="1"/>
  <c r="F57" i="5" s="1"/>
  <c r="H57" i="5" l="1"/>
  <c r="G57" i="5" s="1"/>
  <c r="F58" i="5" s="1"/>
  <c r="H58" i="5" l="1"/>
  <c r="G58" i="5" s="1"/>
  <c r="F59" i="5" s="1"/>
  <c r="H59" i="5" l="1"/>
  <c r="G59" i="5" s="1"/>
  <c r="F60" i="5" s="1"/>
  <c r="H60" i="5" l="1"/>
  <c r="G60" i="5" s="1"/>
  <c r="F61" i="5" s="1"/>
  <c r="H61" i="5" l="1"/>
  <c r="G61" i="5" s="1"/>
  <c r="F62" i="5" s="1"/>
  <c r="H62" i="5" l="1"/>
  <c r="G62" i="5" s="1"/>
  <c r="F63" i="5" s="1"/>
  <c r="H63" i="5" l="1"/>
  <c r="G63" i="5" s="1"/>
  <c r="F64" i="5" s="1"/>
  <c r="H64" i="5" l="1"/>
  <c r="G64" i="5" s="1"/>
  <c r="F65" i="5" s="1"/>
  <c r="H65" i="5" l="1"/>
  <c r="G65" i="5" s="1"/>
  <c r="F66" i="5" s="1"/>
  <c r="H66" i="5" l="1"/>
  <c r="G66" i="5" s="1"/>
  <c r="F67" i="5" s="1"/>
  <c r="H67" i="5" l="1"/>
  <c r="G67" i="5" s="1"/>
  <c r="F68" i="5" s="1"/>
  <c r="H68" i="5" l="1"/>
  <c r="G68" i="5" s="1"/>
  <c r="F69" i="5" s="1"/>
  <c r="H69" i="5" l="1"/>
  <c r="G69" i="5" s="1"/>
  <c r="F70" i="5" s="1"/>
  <c r="H70" i="5" l="1"/>
  <c r="G70" i="5" s="1"/>
  <c r="F71" i="5" s="1"/>
  <c r="H71" i="5" l="1"/>
  <c r="G71" i="5" s="1"/>
  <c r="F72" i="5" s="1"/>
  <c r="H72" i="5" l="1"/>
  <c r="G72" i="5" s="1"/>
  <c r="F73" i="5" s="1"/>
  <c r="H73" i="5" l="1"/>
  <c r="G73" i="5" s="1"/>
  <c r="F74" i="5" s="1"/>
  <c r="H74" i="5" l="1"/>
  <c r="G74" i="5" s="1"/>
  <c r="F75" i="5" s="1"/>
  <c r="H75" i="5" l="1"/>
  <c r="G75" i="5" s="1"/>
  <c r="F76" i="5" s="1"/>
  <c r="H76" i="5" l="1"/>
  <c r="G76" i="5" s="1"/>
  <c r="F77" i="5" s="1"/>
  <c r="H77" i="5" l="1"/>
  <c r="G77" i="5" s="1"/>
  <c r="F78" i="5" s="1"/>
  <c r="H78" i="5" l="1"/>
  <c r="G78" i="5" s="1"/>
  <c r="F79" i="5" s="1"/>
  <c r="H79" i="5" l="1"/>
  <c r="G79" i="5" s="1"/>
  <c r="F80" i="5" s="1"/>
  <c r="H80" i="5" l="1"/>
  <c r="G80" i="5" s="1"/>
  <c r="F81" i="5" s="1"/>
  <c r="H81" i="5" l="1"/>
  <c r="G81" i="5" s="1"/>
  <c r="F82" i="5" s="1"/>
  <c r="H82" i="5" l="1"/>
  <c r="G82" i="5" s="1"/>
  <c r="F83" i="5" s="1"/>
  <c r="H83" i="5" l="1"/>
  <c r="G83" i="5" s="1"/>
  <c r="F84" i="5" s="1"/>
  <c r="H84" i="5" l="1"/>
  <c r="G84" i="5" s="1"/>
  <c r="F85" i="5" s="1"/>
  <c r="H85" i="5" l="1"/>
  <c r="G85" i="5" s="1"/>
  <c r="F86" i="5" s="1"/>
  <c r="H86" i="5" l="1"/>
  <c r="G86" i="5" s="1"/>
  <c r="F87" i="5" s="1"/>
  <c r="H87" i="5" l="1"/>
  <c r="G87" i="5" s="1"/>
  <c r="F88" i="5" s="1"/>
  <c r="H88" i="5" l="1"/>
  <c r="G88" i="5" s="1"/>
  <c r="F89" i="5" s="1"/>
  <c r="H89" i="5" l="1"/>
  <c r="G89" i="5" s="1"/>
  <c r="F90" i="5" s="1"/>
  <c r="H90" i="5" l="1"/>
  <c r="G90" i="5" s="1"/>
  <c r="F91" i="5" s="1"/>
  <c r="H91" i="5" l="1"/>
  <c r="G91" i="5" s="1"/>
  <c r="F92" i="5" s="1"/>
  <c r="H92" i="5" l="1"/>
  <c r="G92" i="5" s="1"/>
  <c r="F93" i="5" s="1"/>
  <c r="H93" i="5" l="1"/>
  <c r="G93" i="5" s="1"/>
  <c r="F94" i="5" s="1"/>
  <c r="H94" i="5" l="1"/>
  <c r="G94" i="5" s="1"/>
  <c r="F95" i="5" s="1"/>
  <c r="H95" i="5" l="1"/>
  <c r="G95" i="5" s="1"/>
  <c r="F96" i="5" s="1"/>
  <c r="H96" i="5" l="1"/>
  <c r="G96" i="5" s="1"/>
  <c r="F97" i="5" s="1"/>
  <c r="H97" i="5" l="1"/>
  <c r="G97" i="5" s="1"/>
  <c r="F98" i="5" s="1"/>
  <c r="H98" i="5" l="1"/>
  <c r="G98" i="5" s="1"/>
  <c r="F99" i="5" s="1"/>
  <c r="H99" i="5" l="1"/>
  <c r="G99" i="5" s="1"/>
  <c r="F100" i="5" s="1"/>
  <c r="H100" i="5" l="1"/>
  <c r="G100" i="5" s="1"/>
  <c r="F101" i="5" s="1"/>
  <c r="H101" i="5" l="1"/>
  <c r="G101" i="5" s="1"/>
  <c r="F102" i="5" s="1"/>
  <c r="H102" i="5" l="1"/>
  <c r="G102" i="5" s="1"/>
  <c r="F103" i="5" s="1"/>
  <c r="H103" i="5" l="1"/>
  <c r="G103" i="5" s="1"/>
  <c r="F104" i="5" s="1"/>
  <c r="H104" i="5" l="1"/>
  <c r="G104" i="5" s="1"/>
  <c r="F105" i="5" s="1"/>
  <c r="H105" i="5" l="1"/>
  <c r="G105" i="5" s="1"/>
  <c r="F106" i="5" s="1"/>
  <c r="H106" i="5" l="1"/>
  <c r="G106" i="5" s="1"/>
  <c r="F107" i="5" s="1"/>
  <c r="H107" i="5" l="1"/>
  <c r="G107" i="5" s="1"/>
  <c r="F108" i="5" s="1"/>
  <c r="H108" i="5" l="1"/>
  <c r="G108" i="5" s="1"/>
  <c r="F109" i="5" s="1"/>
  <c r="H109" i="5" l="1"/>
  <c r="G109" i="5" s="1"/>
  <c r="F110" i="5" s="1"/>
  <c r="H110" i="5" l="1"/>
  <c r="G110" i="5" s="1"/>
  <c r="F111" i="5" s="1"/>
  <c r="H111" i="5" l="1"/>
  <c r="G111" i="5" s="1"/>
  <c r="F112" i="5" s="1"/>
  <c r="H112" i="5" l="1"/>
  <c r="G112" i="5" s="1"/>
  <c r="F113" i="5" s="1"/>
  <c r="H113" i="5" l="1"/>
  <c r="G113" i="5" s="1"/>
  <c r="F114" i="5" s="1"/>
  <c r="H114" i="5" l="1"/>
  <c r="G114" i="5" s="1"/>
  <c r="F115" i="5" s="1"/>
  <c r="H115" i="5" l="1"/>
  <c r="G115" i="5" s="1"/>
  <c r="F116" i="5" s="1"/>
  <c r="H116" i="5" l="1"/>
  <c r="G116" i="5" s="1"/>
  <c r="F117" i="5" s="1"/>
  <c r="H117" i="5" l="1"/>
  <c r="G117" i="5" s="1"/>
  <c r="F118" i="5" s="1"/>
  <c r="H118" i="5" l="1"/>
  <c r="G118" i="5" s="1"/>
  <c r="F119" i="5" s="1"/>
  <c r="H119" i="5" l="1"/>
  <c r="G119" i="5" s="1"/>
  <c r="F120" i="5" s="1"/>
  <c r="H120" i="5" l="1"/>
  <c r="G120" i="5" s="1"/>
  <c r="F121" i="5" s="1"/>
  <c r="H121" i="5" l="1"/>
  <c r="G121" i="5" s="1"/>
  <c r="F122" i="5" s="1"/>
  <c r="H122" i="5" l="1"/>
  <c r="G122" i="5" s="1"/>
  <c r="F123" i="5" s="1"/>
  <c r="H123" i="5" l="1"/>
  <c r="G123" i="5" s="1"/>
  <c r="F124" i="5" s="1"/>
  <c r="H124" i="5" l="1"/>
  <c r="G124" i="5" s="1"/>
  <c r="F125" i="5" s="1"/>
  <c r="H125" i="5" l="1"/>
  <c r="G125" i="5" s="1"/>
  <c r="F126" i="5" s="1"/>
  <c r="H126" i="5" l="1"/>
  <c r="G126" i="5" s="1"/>
  <c r="F127" i="5" s="1"/>
  <c r="H127" i="5" l="1"/>
  <c r="G127" i="5" s="1"/>
  <c r="F128" i="5" s="1"/>
  <c r="H128" i="5" l="1"/>
  <c r="G128" i="5" s="1"/>
  <c r="F129" i="5" s="1"/>
  <c r="H129" i="5" l="1"/>
  <c r="G129" i="5" s="1"/>
  <c r="F130" i="5" s="1"/>
  <c r="H130" i="5" l="1"/>
  <c r="G130" i="5" s="1"/>
  <c r="F131" i="5" s="1"/>
  <c r="H131" i="5" l="1"/>
  <c r="G131" i="5" s="1"/>
  <c r="F132" i="5" s="1"/>
  <c r="H132" i="5" l="1"/>
  <c r="G132" i="5" s="1"/>
  <c r="F133" i="5" s="1"/>
  <c r="H133" i="5" l="1"/>
  <c r="G133" i="5" s="1"/>
  <c r="F134" i="5" s="1"/>
  <c r="H134" i="5" l="1"/>
  <c r="G134" i="5" s="1"/>
  <c r="F135" i="5" s="1"/>
  <c r="H135" i="5" l="1"/>
  <c r="G135" i="5" s="1"/>
  <c r="F136" i="5" s="1"/>
  <c r="H136" i="5" l="1"/>
  <c r="G136" i="5" s="1"/>
  <c r="F137" i="5" s="1"/>
  <c r="H137" i="5" l="1"/>
  <c r="G137" i="5" s="1"/>
  <c r="F138" i="5" s="1"/>
  <c r="H138" i="5" l="1"/>
  <c r="G138" i="5" s="1"/>
  <c r="F139" i="5" s="1"/>
  <c r="H139" i="5" l="1"/>
  <c r="G139" i="5" s="1"/>
  <c r="F140" i="5" s="1"/>
  <c r="H140" i="5" l="1"/>
  <c r="G140" i="5" s="1"/>
  <c r="F141" i="5" s="1"/>
  <c r="H141" i="5" l="1"/>
  <c r="G141" i="5" s="1"/>
  <c r="F142" i="5" s="1"/>
  <c r="H142" i="5" l="1"/>
  <c r="G142" i="5" s="1"/>
  <c r="F143" i="5" s="1"/>
  <c r="H143" i="5" l="1"/>
  <c r="G143" i="5" s="1"/>
  <c r="F144" i="5" s="1"/>
  <c r="H144" i="5" l="1"/>
  <c r="G144" i="5" s="1"/>
  <c r="F145" i="5" s="1"/>
  <c r="H145" i="5" l="1"/>
  <c r="G145" i="5" s="1"/>
  <c r="F146" i="5" s="1"/>
  <c r="H146" i="5" l="1"/>
  <c r="G146" i="5" s="1"/>
  <c r="F147" i="5" s="1"/>
  <c r="H147" i="5" l="1"/>
  <c r="G147" i="5" s="1"/>
  <c r="F148" i="5" s="1"/>
  <c r="H148" i="5" l="1"/>
  <c r="G148" i="5" s="1"/>
  <c r="F149" i="5" s="1"/>
  <c r="H149" i="5" l="1"/>
  <c r="G149" i="5" s="1"/>
  <c r="F150" i="5" s="1"/>
  <c r="H150" i="5" l="1"/>
  <c r="G150" i="5" s="1"/>
  <c r="F151" i="5" s="1"/>
  <c r="H151" i="5" l="1"/>
  <c r="G151" i="5" s="1"/>
  <c r="F152" i="5" s="1"/>
  <c r="H152" i="5" l="1"/>
  <c r="G152" i="5" s="1"/>
  <c r="F153" i="5" s="1"/>
  <c r="H153" i="5" l="1"/>
  <c r="G153" i="5" s="1"/>
  <c r="F154" i="5" s="1"/>
  <c r="H154" i="5" l="1"/>
  <c r="G154" i="5" s="1"/>
  <c r="F155" i="5" s="1"/>
  <c r="H155" i="5" l="1"/>
  <c r="G155" i="5" s="1"/>
  <c r="F156" i="5" s="1"/>
  <c r="H156" i="5" l="1"/>
  <c r="G156" i="5" s="1"/>
  <c r="F157" i="5" s="1"/>
  <c r="H157" i="5" l="1"/>
  <c r="G157" i="5" s="1"/>
  <c r="F158" i="5" s="1"/>
  <c r="G36" i="1"/>
  <c r="H36" i="1"/>
  <c r="M31" i="1" s="1"/>
  <c r="M36" i="1"/>
  <c r="I35" i="1"/>
  <c r="J35" i="1"/>
  <c r="E7" i="6"/>
  <c r="E8" i="6" s="1"/>
  <c r="E9" i="6" s="1"/>
  <c r="E10" i="6" s="1"/>
  <c r="E11" i="6" s="1"/>
  <c r="E12" i="6" s="1"/>
  <c r="E13" i="6" s="1"/>
  <c r="E14" i="6" s="1"/>
  <c r="E15" i="6" s="1"/>
  <c r="E16" i="6" s="1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E27" i="6" s="1"/>
  <c r="E28" i="6" s="1"/>
  <c r="E29" i="6" s="1"/>
  <c r="E30" i="6" s="1"/>
  <c r="E31" i="6" s="1"/>
  <c r="E32" i="6" s="1"/>
  <c r="E33" i="6" s="1"/>
  <c r="E34" i="6" s="1"/>
  <c r="E35" i="6" s="1"/>
  <c r="E36" i="6" s="1"/>
  <c r="E37" i="6" s="1"/>
  <c r="E38" i="6" s="1"/>
  <c r="E39" i="6" s="1"/>
  <c r="E40" i="6" s="1"/>
  <c r="E41" i="6" s="1"/>
  <c r="E42" i="6" s="1"/>
  <c r="E43" i="6" s="1"/>
  <c r="E44" i="6" s="1"/>
  <c r="E45" i="6" s="1"/>
  <c r="E46" i="6" s="1"/>
  <c r="E47" i="6" s="1"/>
  <c r="E48" i="6" s="1"/>
  <c r="E49" i="6" s="1"/>
  <c r="E50" i="6" s="1"/>
  <c r="E51" i="6" s="1"/>
  <c r="E52" i="6" s="1"/>
  <c r="E53" i="6" s="1"/>
  <c r="E54" i="6" s="1"/>
  <c r="E55" i="6" s="1"/>
  <c r="E56" i="6" s="1"/>
  <c r="E57" i="6" s="1"/>
  <c r="E58" i="6" s="1"/>
  <c r="E59" i="6" s="1"/>
  <c r="E60" i="6" s="1"/>
  <c r="E61" i="6" s="1"/>
  <c r="E62" i="6" s="1"/>
  <c r="E63" i="6" s="1"/>
  <c r="E64" i="6" s="1"/>
  <c r="E65" i="6" s="1"/>
  <c r="E66" i="6" s="1"/>
  <c r="E67" i="6" s="1"/>
  <c r="E68" i="6" s="1"/>
  <c r="E69" i="6" s="1"/>
  <c r="E70" i="6" s="1"/>
  <c r="E71" i="6" s="1"/>
  <c r="E72" i="6" s="1"/>
  <c r="E73" i="6" s="1"/>
  <c r="E74" i="6" s="1"/>
  <c r="E75" i="6" s="1"/>
  <c r="E76" i="6" s="1"/>
  <c r="E77" i="6" s="1"/>
  <c r="E78" i="6" s="1"/>
  <c r="E79" i="6" s="1"/>
  <c r="E80" i="6" s="1"/>
  <c r="E81" i="6" s="1"/>
  <c r="E82" i="6" s="1"/>
  <c r="E83" i="6" s="1"/>
  <c r="E84" i="6" s="1"/>
  <c r="E85" i="6" s="1"/>
  <c r="E86" i="6" s="1"/>
  <c r="E87" i="6" s="1"/>
  <c r="E88" i="6" s="1"/>
  <c r="E89" i="6" s="1"/>
  <c r="E90" i="6" s="1"/>
  <c r="E91" i="6" s="1"/>
  <c r="E92" i="6" s="1"/>
  <c r="E93" i="6" s="1"/>
  <c r="E94" i="6" s="1"/>
  <c r="E95" i="6" s="1"/>
  <c r="E96" i="6" s="1"/>
  <c r="E97" i="6" s="1"/>
  <c r="E98" i="6" s="1"/>
  <c r="E99" i="6" s="1"/>
  <c r="E100" i="6" s="1"/>
  <c r="E101" i="6" s="1"/>
  <c r="E102" i="6" s="1"/>
  <c r="E103" i="6" s="1"/>
  <c r="E104" i="6" s="1"/>
  <c r="E105" i="6" s="1"/>
  <c r="E106" i="6" s="1"/>
  <c r="E107" i="6" s="1"/>
  <c r="E108" i="6" s="1"/>
  <c r="E109" i="6" s="1"/>
  <c r="E110" i="6" s="1"/>
  <c r="E111" i="6" s="1"/>
  <c r="E112" i="6" s="1"/>
  <c r="E113" i="6" s="1"/>
  <c r="E114" i="6" s="1"/>
  <c r="E115" i="6" s="1"/>
  <c r="E116" i="6" s="1"/>
  <c r="E117" i="6" s="1"/>
  <c r="E118" i="6" s="1"/>
  <c r="E119" i="6" s="1"/>
  <c r="E120" i="6" s="1"/>
  <c r="E121" i="6" s="1"/>
  <c r="E122" i="6" s="1"/>
  <c r="E123" i="6" s="1"/>
  <c r="E124" i="6" s="1"/>
  <c r="E125" i="6" s="1"/>
  <c r="E126" i="6" s="1"/>
  <c r="E127" i="6" s="1"/>
  <c r="E128" i="6" s="1"/>
  <c r="E129" i="6" s="1"/>
  <c r="E130" i="6" s="1"/>
  <c r="E131" i="6" s="1"/>
  <c r="E132" i="6" s="1"/>
  <c r="E133" i="6" s="1"/>
  <c r="E134" i="6" s="1"/>
  <c r="E135" i="6" s="1"/>
  <c r="E136" i="6" s="1"/>
  <c r="E137" i="6" s="1"/>
  <c r="E138" i="6" s="1"/>
  <c r="E139" i="6" s="1"/>
  <c r="E140" i="6" s="1"/>
  <c r="E141" i="6" s="1"/>
  <c r="E142" i="6" s="1"/>
  <c r="E143" i="6" s="1"/>
  <c r="E144" i="6" s="1"/>
  <c r="E145" i="6" s="1"/>
  <c r="E146" i="6" s="1"/>
  <c r="E147" i="6" s="1"/>
  <c r="E148" i="6" s="1"/>
  <c r="E6" i="6"/>
  <c r="D5" i="6"/>
  <c r="D6" i="6" s="1"/>
  <c r="G5" i="3"/>
  <c r="G6" i="3" s="1"/>
  <c r="G7" i="3" s="1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E6" i="5"/>
  <c r="E7" i="5" s="1"/>
  <c r="E8" i="5" s="1"/>
  <c r="E9" i="5" s="1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D30" i="1" a="1"/>
  <c r="D30" i="1" s="1"/>
  <c r="D5" i="5"/>
  <c r="E36" i="1"/>
  <c r="J34" i="1"/>
  <c r="I34" i="1"/>
  <c r="I36" i="1" l="1"/>
  <c r="J36" i="1"/>
  <c r="H158" i="5"/>
  <c r="G158" i="5" s="1"/>
  <c r="D6" i="5"/>
  <c r="D7" i="6"/>
  <c r="D8" i="6" s="1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D42" i="6" s="1"/>
  <c r="D43" i="6" s="1"/>
  <c r="D44" i="6" s="1"/>
  <c r="D45" i="6" s="1"/>
  <c r="D46" i="6" s="1"/>
  <c r="D47" i="6" s="1"/>
  <c r="D48" i="6" s="1"/>
  <c r="D49" i="6" s="1"/>
  <c r="D50" i="6" s="1"/>
  <c r="D51" i="6" s="1"/>
  <c r="D52" i="6" s="1"/>
  <c r="D53" i="6" s="1"/>
  <c r="D54" i="6" s="1"/>
  <c r="D55" i="6" s="1"/>
  <c r="D56" i="6" s="1"/>
  <c r="D57" i="6" s="1"/>
  <c r="D58" i="6" s="1"/>
  <c r="D59" i="6" s="1"/>
  <c r="D60" i="6" s="1"/>
  <c r="D61" i="6" s="1"/>
  <c r="D62" i="6" s="1"/>
  <c r="D63" i="6" s="1"/>
  <c r="D64" i="6" s="1"/>
  <c r="D65" i="6" s="1"/>
  <c r="D66" i="6" s="1"/>
  <c r="D67" i="6" s="1"/>
  <c r="D68" i="6" s="1"/>
  <c r="D69" i="6" s="1"/>
  <c r="D70" i="6" s="1"/>
  <c r="D71" i="6" s="1"/>
  <c r="D72" i="6" s="1"/>
  <c r="D73" i="6" s="1"/>
  <c r="D74" i="6" s="1"/>
  <c r="D75" i="6" s="1"/>
  <c r="D76" i="6" s="1"/>
  <c r="D77" i="6" s="1"/>
  <c r="D78" i="6" s="1"/>
  <c r="D79" i="6" s="1"/>
  <c r="D80" i="6" s="1"/>
  <c r="D81" i="6" s="1"/>
  <c r="D82" i="6" s="1"/>
  <c r="D83" i="6" s="1"/>
  <c r="D84" i="6" s="1"/>
  <c r="D85" i="6" s="1"/>
  <c r="D86" i="6" s="1"/>
  <c r="D87" i="6" s="1"/>
  <c r="D88" i="6" s="1"/>
  <c r="D89" i="6" s="1"/>
  <c r="D90" i="6" s="1"/>
  <c r="D91" i="6" s="1"/>
  <c r="D92" i="6" s="1"/>
  <c r="D93" i="6" s="1"/>
  <c r="D94" i="6" s="1"/>
  <c r="D95" i="6" s="1"/>
  <c r="D96" i="6" s="1"/>
  <c r="D97" i="6" s="1"/>
  <c r="D98" i="6" s="1"/>
  <c r="D99" i="6" s="1"/>
  <c r="D100" i="6" s="1"/>
  <c r="D101" i="6" s="1"/>
  <c r="D102" i="6" s="1"/>
  <c r="D103" i="6" s="1"/>
  <c r="D104" i="6" s="1"/>
  <c r="D105" i="6" s="1"/>
  <c r="D106" i="6" s="1"/>
  <c r="D107" i="6" s="1"/>
  <c r="D108" i="6" s="1"/>
  <c r="D109" i="6" s="1"/>
  <c r="D110" i="6" s="1"/>
  <c r="D111" i="6" s="1"/>
  <c r="D112" i="6" s="1"/>
  <c r="D113" i="6" s="1"/>
  <c r="D114" i="6" s="1"/>
  <c r="D115" i="6" s="1"/>
  <c r="D116" i="6" s="1"/>
  <c r="D117" i="6" s="1"/>
  <c r="D118" i="6" s="1"/>
  <c r="D119" i="6" s="1"/>
  <c r="D120" i="6" s="1"/>
  <c r="D121" i="6" s="1"/>
  <c r="D122" i="6" s="1"/>
  <c r="D123" i="6" s="1"/>
  <c r="D124" i="6" s="1"/>
  <c r="D125" i="6" s="1"/>
  <c r="D126" i="6" s="1"/>
  <c r="D127" i="6" s="1"/>
  <c r="D128" i="6" s="1"/>
  <c r="D129" i="6" s="1"/>
  <c r="D130" i="6" s="1"/>
  <c r="D131" i="6" s="1"/>
  <c r="D132" i="6" s="1"/>
  <c r="D133" i="6" s="1"/>
  <c r="D134" i="6" s="1"/>
  <c r="D135" i="6" s="1"/>
  <c r="D136" i="6" s="1"/>
  <c r="D137" i="6" s="1"/>
  <c r="D138" i="6" s="1"/>
  <c r="D139" i="6" s="1"/>
  <c r="D140" i="6" s="1"/>
  <c r="D141" i="6" s="1"/>
  <c r="D142" i="6" s="1"/>
  <c r="D143" i="6" s="1"/>
  <c r="D144" i="6" s="1"/>
  <c r="D145" i="6" s="1"/>
  <c r="D146" i="6" s="1"/>
  <c r="D147" i="6" s="1"/>
  <c r="D148" i="6" s="1"/>
  <c r="D31" i="1"/>
  <c r="D18" i="1" a="1"/>
  <c r="D18" i="1" s="1"/>
  <c r="H5" i="3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65" i="3" s="1"/>
  <c r="H66" i="3" s="1"/>
  <c r="H67" i="3" s="1"/>
  <c r="H68" i="3" s="1"/>
  <c r="H69" i="3" s="1"/>
  <c r="H70" i="3" s="1"/>
  <c r="H71" i="3" s="1"/>
  <c r="H72" i="3" s="1"/>
  <c r="H73" i="3" s="1"/>
  <c r="H74" i="3" s="1"/>
  <c r="H75" i="3" s="1"/>
  <c r="H76" i="3" s="1"/>
  <c r="H77" i="3" s="1"/>
  <c r="H78" i="3" s="1"/>
  <c r="H79" i="3" s="1"/>
  <c r="H80" i="3" s="1"/>
  <c r="H81" i="3" s="1"/>
  <c r="H82" i="3" s="1"/>
  <c r="H83" i="3" s="1"/>
  <c r="H84" i="3" s="1"/>
  <c r="H85" i="3" s="1"/>
  <c r="H86" i="3" s="1"/>
  <c r="H87" i="3" s="1"/>
  <c r="H88" i="3" s="1"/>
  <c r="H89" i="3" s="1"/>
  <c r="H90" i="3" s="1"/>
  <c r="H91" i="3" s="1"/>
  <c r="H92" i="3" s="1"/>
  <c r="H93" i="3" s="1"/>
  <c r="H94" i="3" s="1"/>
  <c r="H95" i="3" s="1"/>
  <c r="H96" i="3" s="1"/>
  <c r="H97" i="3" s="1"/>
  <c r="H98" i="3" s="1"/>
  <c r="H99" i="3" s="1"/>
  <c r="H100" i="3" s="1"/>
  <c r="H101" i="3" s="1"/>
  <c r="H102" i="3" s="1"/>
  <c r="H103" i="3" s="1"/>
  <c r="H104" i="3" s="1"/>
  <c r="H105" i="3" s="1"/>
  <c r="H106" i="3" s="1"/>
  <c r="H107" i="3" s="1"/>
  <c r="H108" i="3" s="1"/>
  <c r="H109" i="3" s="1"/>
  <c r="H110" i="3" s="1"/>
  <c r="H111" i="3" s="1"/>
  <c r="H112" i="3" s="1"/>
  <c r="H113" i="3" s="1"/>
  <c r="H114" i="3" s="1"/>
  <c r="H115" i="3" s="1"/>
  <c r="H116" i="3" s="1"/>
  <c r="H117" i="3" s="1"/>
  <c r="H118" i="3" s="1"/>
  <c r="H119" i="3" s="1"/>
  <c r="H120" i="3" s="1"/>
  <c r="H121" i="3" s="1"/>
  <c r="H122" i="3" s="1"/>
  <c r="H123" i="3" s="1"/>
  <c r="H124" i="3" s="1"/>
  <c r="H125" i="3" s="1"/>
  <c r="H126" i="3" s="1"/>
  <c r="H127" i="3" s="1"/>
  <c r="H128" i="3" s="1"/>
  <c r="H129" i="3" s="1"/>
  <c r="H130" i="3" s="1"/>
  <c r="H131" i="3" s="1"/>
  <c r="H132" i="3" s="1"/>
  <c r="H133" i="3" s="1"/>
  <c r="H134" i="3" s="1"/>
  <c r="H135" i="3" s="1"/>
  <c r="H136" i="3" s="1"/>
  <c r="H137" i="3" s="1"/>
  <c r="H138" i="3" s="1"/>
  <c r="H139" i="3" s="1"/>
  <c r="H140" i="3" s="1"/>
  <c r="H141" i="3" s="1"/>
  <c r="H142" i="3" s="1"/>
  <c r="H143" i="3" s="1"/>
  <c r="H144" i="3" s="1"/>
  <c r="H145" i="3" s="1"/>
  <c r="H146" i="3" s="1"/>
  <c r="F5" i="3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F63" i="3" s="1"/>
  <c r="F64" i="3" s="1"/>
  <c r="F65" i="3" s="1"/>
  <c r="F66" i="3" s="1"/>
  <c r="F67" i="3" s="1"/>
  <c r="F68" i="3" s="1"/>
  <c r="F69" i="3" s="1"/>
  <c r="F70" i="3" s="1"/>
  <c r="F71" i="3" s="1"/>
  <c r="F72" i="3" s="1"/>
  <c r="F73" i="3" s="1"/>
  <c r="F74" i="3" s="1"/>
  <c r="F75" i="3" s="1"/>
  <c r="F76" i="3" s="1"/>
  <c r="F77" i="3" s="1"/>
  <c r="F78" i="3" s="1"/>
  <c r="F79" i="3" s="1"/>
  <c r="F80" i="3" s="1"/>
  <c r="F81" i="3" s="1"/>
  <c r="F82" i="3" s="1"/>
  <c r="F83" i="3" s="1"/>
  <c r="F84" i="3" s="1"/>
  <c r="F85" i="3" s="1"/>
  <c r="F86" i="3" s="1"/>
  <c r="F87" i="3" s="1"/>
  <c r="F88" i="3" s="1"/>
  <c r="F89" i="3" s="1"/>
  <c r="F90" i="3" s="1"/>
  <c r="F91" i="3" s="1"/>
  <c r="F92" i="3" s="1"/>
  <c r="F93" i="3" s="1"/>
  <c r="F94" i="3" s="1"/>
  <c r="F95" i="3" s="1"/>
  <c r="F96" i="3" s="1"/>
  <c r="F97" i="3" s="1"/>
  <c r="F98" i="3" s="1"/>
  <c r="F99" i="3" s="1"/>
  <c r="F100" i="3" s="1"/>
  <c r="F101" i="3" s="1"/>
  <c r="F102" i="3" s="1"/>
  <c r="F103" i="3" s="1"/>
  <c r="F104" i="3" s="1"/>
  <c r="F105" i="3" s="1"/>
  <c r="F106" i="3" s="1"/>
  <c r="F107" i="3" s="1"/>
  <c r="F108" i="3" s="1"/>
  <c r="F109" i="3" s="1"/>
  <c r="F110" i="3" s="1"/>
  <c r="F111" i="3" s="1"/>
  <c r="F112" i="3" s="1"/>
  <c r="F113" i="3" s="1"/>
  <c r="F114" i="3" s="1"/>
  <c r="F115" i="3" s="1"/>
  <c r="F116" i="3" s="1"/>
  <c r="F117" i="3" s="1"/>
  <c r="F118" i="3" s="1"/>
  <c r="F119" i="3" s="1"/>
  <c r="F120" i="3" s="1"/>
  <c r="F121" i="3" s="1"/>
  <c r="F122" i="3" s="1"/>
  <c r="E5" i="3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118" i="3" s="1"/>
  <c r="E119" i="3" s="1"/>
  <c r="E120" i="3" s="1"/>
  <c r="E121" i="3" s="1"/>
  <c r="D5" i="3"/>
  <c r="E26" i="1"/>
  <c r="J23" i="1"/>
  <c r="J24" i="1"/>
  <c r="J25" i="1"/>
  <c r="J22" i="1"/>
  <c r="I23" i="1"/>
  <c r="I24" i="1"/>
  <c r="I25" i="1"/>
  <c r="I22" i="1"/>
  <c r="K26" i="1"/>
  <c r="H26" i="1"/>
  <c r="M19" i="1" s="1"/>
  <c r="M26" i="1"/>
  <c r="G26" i="1"/>
  <c r="G25" i="3" l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G63" i="3" s="1"/>
  <c r="G64" i="3" s="1"/>
  <c r="G65" i="3" s="1"/>
  <c r="G66" i="3" s="1"/>
  <c r="G67" i="3" s="1"/>
  <c r="G68" i="3" s="1"/>
  <c r="G69" i="3" s="1"/>
  <c r="G70" i="3" s="1"/>
  <c r="G71" i="3" s="1"/>
  <c r="G72" i="3" s="1"/>
  <c r="G73" i="3" s="1"/>
  <c r="G74" i="3" s="1"/>
  <c r="G75" i="3" s="1"/>
  <c r="G76" i="3" s="1"/>
  <c r="G77" i="3" s="1"/>
  <c r="G78" i="3" s="1"/>
  <c r="G79" i="3" s="1"/>
  <c r="G80" i="3" s="1"/>
  <c r="G81" i="3" s="1"/>
  <c r="G82" i="3" s="1"/>
  <c r="G83" i="3" s="1"/>
  <c r="G84" i="3" s="1"/>
  <c r="G85" i="3" s="1"/>
  <c r="G86" i="3" s="1"/>
  <c r="G87" i="3" s="1"/>
  <c r="G88" i="3" s="1"/>
  <c r="G89" i="3" s="1"/>
  <c r="G90" i="3" s="1"/>
  <c r="G91" i="3" s="1"/>
  <c r="G92" i="3" s="1"/>
  <c r="G93" i="3" s="1"/>
  <c r="G94" i="3" s="1"/>
  <c r="G95" i="3" s="1"/>
  <c r="G96" i="3" s="1"/>
  <c r="G97" i="3" s="1"/>
  <c r="G98" i="3" s="1"/>
  <c r="G99" i="3" s="1"/>
  <c r="G100" i="3" s="1"/>
  <c r="G101" i="3" s="1"/>
  <c r="G102" i="3" s="1"/>
  <c r="G103" i="3" s="1"/>
  <c r="G104" i="3" s="1"/>
  <c r="G105" i="3" s="1"/>
  <c r="G106" i="3" s="1"/>
  <c r="G107" i="3" s="1"/>
  <c r="G108" i="3" s="1"/>
  <c r="G109" i="3" s="1"/>
  <c r="G110" i="3" s="1"/>
  <c r="G111" i="3" s="1"/>
  <c r="G112" i="3" s="1"/>
  <c r="G113" i="3" s="1"/>
  <c r="G114" i="3" s="1"/>
  <c r="G115" i="3" s="1"/>
  <c r="G116" i="3" s="1"/>
  <c r="G117" i="3" s="1"/>
  <c r="G118" i="3" s="1"/>
  <c r="G119" i="3" s="1"/>
  <c r="G120" i="3" s="1"/>
  <c r="G121" i="3" s="1"/>
  <c r="G122" i="3" s="1"/>
  <c r="G123" i="3" s="1"/>
  <c r="G124" i="3" s="1"/>
  <c r="G125" i="3" s="1"/>
  <c r="G126" i="3" s="1"/>
  <c r="G127" i="3" s="1"/>
  <c r="G128" i="3" s="1"/>
  <c r="G129" i="3" s="1"/>
  <c r="G130" i="3" s="1"/>
  <c r="G131" i="3" s="1"/>
  <c r="G132" i="3" s="1"/>
  <c r="G133" i="3" s="1"/>
  <c r="G134" i="3" s="1"/>
  <c r="G135" i="3" s="1"/>
  <c r="G136" i="3" s="1"/>
  <c r="G137" i="3" s="1"/>
  <c r="G138" i="3" s="1"/>
  <c r="G139" i="3" s="1"/>
  <c r="G140" i="3" s="1"/>
  <c r="G141" i="3" s="1"/>
  <c r="G142" i="3" s="1"/>
  <c r="G143" i="3" s="1"/>
  <c r="G144" i="3" s="1"/>
  <c r="D7" i="5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F23" i="1" a="1"/>
  <c r="F23" i="1" s="1"/>
  <c r="F25" i="1" a="1"/>
  <c r="F25" i="1" s="1"/>
  <c r="I26" i="1"/>
  <c r="J26" i="1"/>
  <c r="D4" i="1" a="1"/>
  <c r="D4" i="1" s="1"/>
  <c r="K13" i="2" a="1"/>
  <c r="K13" i="2" s="1"/>
  <c r="D26" i="5" l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F24" i="1" a="1"/>
  <c r="F24" i="1" s="1"/>
  <c r="F34" i="1" a="1"/>
  <c r="F34" i="1" s="1"/>
  <c r="I5" i="2"/>
  <c r="H5" i="2"/>
  <c r="F5" i="2"/>
  <c r="I9" i="1"/>
  <c r="I10" i="1"/>
  <c r="I11" i="1"/>
  <c r="I12" i="1"/>
  <c r="D38" i="5" l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F36" i="1"/>
  <c r="L31" i="1" s="1"/>
  <c r="H6" i="2"/>
  <c r="F6" i="2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I6" i="2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8" i="1"/>
  <c r="F32" i="2" l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" i="1" a="1"/>
  <c r="F10" i="1" s="1"/>
  <c r="I32" i="2"/>
  <c r="I33" i="2" s="1"/>
  <c r="I34" i="2" s="1"/>
  <c r="I35" i="2" s="1"/>
  <c r="H7" i="2"/>
  <c r="I14" i="1"/>
  <c r="J8" i="1"/>
  <c r="J9" i="1"/>
  <c r="J10" i="1"/>
  <c r="J11" i="1"/>
  <c r="J12" i="1"/>
  <c r="M14" i="1"/>
  <c r="H14" i="1"/>
  <c r="M5" i="1" s="1"/>
  <c r="K14" i="1"/>
  <c r="G14" i="1"/>
  <c r="I36" i="2" l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I58" i="2" s="1"/>
  <c r="I59" i="2" s="1"/>
  <c r="I60" i="2" s="1"/>
  <c r="I61" i="2" s="1"/>
  <c r="I62" i="2" s="1"/>
  <c r="I63" i="2" s="1"/>
  <c r="I64" i="2" s="1"/>
  <c r="I65" i="2" s="1"/>
  <c r="I66" i="2" s="1"/>
  <c r="I67" i="2" s="1"/>
  <c r="I68" i="2" s="1"/>
  <c r="I69" i="2" s="1"/>
  <c r="I70" i="2" s="1"/>
  <c r="I71" i="2" s="1"/>
  <c r="I72" i="2" s="1"/>
  <c r="I73" i="2" s="1"/>
  <c r="I74" i="2" s="1"/>
  <c r="I75" i="2" s="1"/>
  <c r="I76" i="2" s="1"/>
  <c r="I77" i="2" s="1"/>
  <c r="I78" i="2" s="1"/>
  <c r="I79" i="2" s="1"/>
  <c r="I80" i="2" s="1"/>
  <c r="I81" i="2" s="1"/>
  <c r="I82" i="2" s="1"/>
  <c r="I83" i="2" s="1"/>
  <c r="P11" i="2" s="1" a="1"/>
  <c r="P11" i="2" s="1"/>
  <c r="M11" i="2" a="1"/>
  <c r="M11" i="2" s="1"/>
  <c r="L11" i="2" a="1"/>
  <c r="L11" i="2" s="1"/>
  <c r="H8" i="2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O11" i="2" a="1"/>
  <c r="O11" i="2" s="1"/>
  <c r="J14" i="1"/>
  <c r="E14" i="1"/>
  <c r="E5" i="2"/>
  <c r="I84" i="2" l="1"/>
  <c r="I85" i="2" s="1"/>
  <c r="I86" i="2" s="1"/>
  <c r="I87" i="2" s="1"/>
  <c r="I88" i="2" s="1"/>
  <c r="I89" i="2" s="1"/>
  <c r="I90" i="2" s="1"/>
  <c r="I91" i="2" s="1"/>
  <c r="I92" i="2" s="1"/>
  <c r="I93" i="2" s="1"/>
  <c r="I94" i="2" s="1"/>
  <c r="I95" i="2" s="1"/>
  <c r="I96" i="2" s="1"/>
  <c r="I97" i="2" s="1"/>
  <c r="I98" i="2" s="1"/>
  <c r="I99" i="2" s="1"/>
  <c r="I100" i="2" s="1"/>
  <c r="I101" i="2" s="1"/>
  <c r="I102" i="2" s="1"/>
  <c r="I103" i="2" s="1"/>
  <c r="I104" i="2" s="1"/>
  <c r="I105" i="2" s="1"/>
  <c r="I106" i="2" s="1"/>
  <c r="I107" i="2" s="1"/>
  <c r="I108" i="2" s="1"/>
  <c r="I109" i="2" s="1"/>
  <c r="I110" i="2" s="1"/>
  <c r="I111" i="2" s="1"/>
  <c r="I112" i="2" s="1"/>
  <c r="I113" i="2" s="1"/>
  <c r="I114" i="2" s="1"/>
  <c r="I115" i="2" s="1"/>
  <c r="I116" i="2" s="1"/>
  <c r="I117" i="2" s="1"/>
  <c r="I118" i="2" s="1"/>
  <c r="I119" i="2" s="1"/>
  <c r="I120" i="2" s="1"/>
  <c r="I121" i="2" s="1"/>
  <c r="I122" i="2" s="1"/>
  <c r="I123" i="2" s="1"/>
  <c r="I124" i="2" s="1"/>
  <c r="I125" i="2" s="1"/>
  <c r="I126" i="2" s="1"/>
  <c r="I127" i="2" s="1"/>
  <c r="I128" i="2" s="1"/>
  <c r="I129" i="2" s="1"/>
  <c r="I130" i="2" s="1"/>
  <c r="I131" i="2" s="1"/>
  <c r="I132" i="2" s="1"/>
  <c r="I133" i="2" s="1"/>
  <c r="I134" i="2" s="1"/>
  <c r="I135" i="2" s="1"/>
  <c r="I136" i="2" s="1"/>
  <c r="I137" i="2" s="1"/>
  <c r="I138" i="2" s="1"/>
  <c r="I139" i="2" s="1"/>
  <c r="I140" i="2" s="1"/>
  <c r="I141" i="2" s="1"/>
  <c r="I142" i="2" s="1"/>
  <c r="I143" i="2" s="1"/>
  <c r="I144" i="2" s="1"/>
  <c r="I145" i="2" s="1"/>
  <c r="I146" i="2" s="1"/>
  <c r="I147" i="2" s="1"/>
  <c r="I148" i="2" s="1"/>
  <c r="I149" i="2" s="1"/>
  <c r="I150" i="2" s="1"/>
  <c r="I151" i="2" s="1"/>
  <c r="I152" i="2" s="1"/>
  <c r="I153" i="2" s="1"/>
  <c r="I154" i="2" s="1"/>
  <c r="I155" i="2" s="1"/>
  <c r="I156" i="2" s="1"/>
  <c r="I157" i="2" s="1"/>
  <c r="I158" i="2" s="1"/>
  <c r="I159" i="2" s="1"/>
  <c r="I160" i="2" s="1"/>
  <c r="I161" i="2" s="1"/>
  <c r="I162" i="2" s="1"/>
  <c r="I163" i="2" s="1"/>
  <c r="I164" i="2" s="1"/>
  <c r="I165" i="2" s="1"/>
  <c r="I166" i="2" s="1"/>
  <c r="I167" i="2" s="1"/>
  <c r="I168" i="2" s="1"/>
  <c r="I169" i="2" s="1"/>
  <c r="I170" i="2" s="1"/>
  <c r="I171" i="2" s="1"/>
  <c r="I172" i="2" s="1"/>
  <c r="I173" i="2" s="1"/>
  <c r="I174" i="2" s="1"/>
  <c r="I175" i="2" s="1"/>
  <c r="I176" i="2" s="1"/>
  <c r="I177" i="2" s="1"/>
  <c r="I178" i="2" s="1"/>
  <c r="I179" i="2" s="1"/>
  <c r="I180" i="2" s="1"/>
  <c r="I181" i="2" s="1"/>
  <c r="I182" i="2" s="1"/>
  <c r="I183" i="2" s="1"/>
  <c r="I184" i="2" s="1"/>
  <c r="I185" i="2" s="1"/>
  <c r="I186" i="2" s="1"/>
  <c r="I187" i="2" s="1"/>
  <c r="I188" i="2" s="1"/>
  <c r="I189" i="2" s="1"/>
  <c r="I190" i="2" s="1"/>
  <c r="I191" i="2" s="1"/>
  <c r="H31" i="2"/>
  <c r="E6" i="2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F8" i="1" a="1"/>
  <c r="F8" i="1" s="1"/>
  <c r="K11" i="2" a="1"/>
  <c r="K11" i="2" s="1"/>
  <c r="H32" i="2" l="1"/>
  <c r="H33" i="2" s="1"/>
  <c r="H34" i="2" s="1"/>
  <c r="H35" i="2" s="1"/>
  <c r="H36" i="2" s="1"/>
  <c r="H37" i="2" s="1"/>
  <c r="H38" i="2" s="1"/>
  <c r="H39" i="2" s="1"/>
  <c r="H40" i="2" s="1"/>
  <c r="H41" i="2" s="1"/>
  <c r="H42" i="2" s="1"/>
  <c r="H43" i="2" s="1"/>
  <c r="H44" i="2" s="1"/>
  <c r="H45" i="2" s="1"/>
  <c r="H46" i="2" s="1"/>
  <c r="H47" i="2" s="1"/>
  <c r="H48" i="2" s="1"/>
  <c r="H49" i="2" s="1"/>
  <c r="H50" i="2" s="1"/>
  <c r="H51" i="2" s="1"/>
  <c r="H52" i="2" s="1"/>
  <c r="H53" i="2" s="1"/>
  <c r="H54" i="2" s="1"/>
  <c r="H55" i="2" s="1"/>
  <c r="H56" i="2" s="1"/>
  <c r="H57" i="2" s="1"/>
  <c r="H58" i="2" s="1"/>
  <c r="H59" i="2" s="1"/>
  <c r="H60" i="2" s="1"/>
  <c r="H61" i="2" s="1"/>
  <c r="H62" i="2" s="1"/>
  <c r="H63" i="2" s="1"/>
  <c r="H64" i="2" s="1"/>
  <c r="H65" i="2" s="1"/>
  <c r="H66" i="2" s="1"/>
  <c r="H67" i="2" s="1"/>
  <c r="H68" i="2" s="1"/>
  <c r="H69" i="2" s="1"/>
  <c r="H70" i="2" s="1"/>
  <c r="H71" i="2" s="1"/>
  <c r="H72" i="2" s="1"/>
  <c r="H73" i="2" s="1"/>
  <c r="H74" i="2" s="1"/>
  <c r="H75" i="2" s="1"/>
  <c r="H76" i="2" s="1"/>
  <c r="H77" i="2" s="1"/>
  <c r="H78" i="2" s="1"/>
  <c r="H79" i="2" s="1"/>
  <c r="H80" i="2" s="1"/>
  <c r="H81" i="2" s="1"/>
  <c r="H82" i="2" s="1"/>
  <c r="H83" i="2" s="1"/>
  <c r="H84" i="2" s="1"/>
  <c r="H85" i="2" s="1"/>
  <c r="H86" i="2" s="1"/>
  <c r="H87" i="2" s="1"/>
  <c r="H88" i="2" s="1"/>
  <c r="H89" i="2" s="1"/>
  <c r="H90" i="2" s="1"/>
  <c r="H91" i="2" s="1"/>
  <c r="H92" i="2" s="1"/>
  <c r="H93" i="2" s="1"/>
  <c r="H94" i="2" s="1"/>
  <c r="H95" i="2" s="1"/>
  <c r="H96" i="2" s="1"/>
  <c r="H97" i="2" s="1"/>
  <c r="H98" i="2" s="1"/>
  <c r="H99" i="2" s="1"/>
  <c r="H100" i="2" s="1"/>
  <c r="H101" i="2" s="1"/>
  <c r="H102" i="2" s="1"/>
  <c r="H103" i="2" s="1"/>
  <c r="H104" i="2" s="1"/>
  <c r="H105" i="2" s="1"/>
  <c r="H106" i="2" s="1"/>
  <c r="H107" i="2" s="1"/>
  <c r="H108" i="2" s="1"/>
  <c r="H109" i="2" s="1"/>
  <c r="H110" i="2" s="1"/>
  <c r="H111" i="2" s="1"/>
  <c r="H112" i="2" s="1"/>
  <c r="H113" i="2" s="1"/>
  <c r="H114" i="2" s="1"/>
  <c r="H115" i="2" s="1"/>
  <c r="H116" i="2" s="1"/>
  <c r="H117" i="2" s="1"/>
  <c r="H118" i="2" s="1"/>
  <c r="H119" i="2" s="1"/>
  <c r="H120" i="2" s="1"/>
  <c r="H121" i="2" s="1"/>
  <c r="H122" i="2" s="1"/>
  <c r="H123" i="2" s="1"/>
  <c r="H124" i="2" s="1"/>
  <c r="H125" i="2" s="1"/>
  <c r="H126" i="2" s="1"/>
  <c r="H127" i="2" s="1"/>
  <c r="H128" i="2" s="1"/>
  <c r="H129" i="2" s="1"/>
  <c r="H130" i="2" s="1"/>
  <c r="H131" i="2" s="1"/>
  <c r="H132" i="2" s="1"/>
  <c r="H133" i="2" s="1"/>
  <c r="H134" i="2" s="1"/>
  <c r="H135" i="2" s="1"/>
  <c r="H136" i="2" s="1"/>
  <c r="H137" i="2" s="1"/>
  <c r="H138" i="2" s="1"/>
  <c r="H139" i="2" s="1"/>
  <c r="H140" i="2" s="1"/>
  <c r="H141" i="2" s="1"/>
  <c r="H142" i="2" s="1"/>
  <c r="H143" i="2" s="1"/>
  <c r="H144" i="2" s="1"/>
  <c r="H145" i="2" s="1"/>
  <c r="F11" i="1" a="1"/>
  <c r="F11" i="1" s="1"/>
  <c r="F14" i="1" s="1"/>
  <c r="L5" i="1" s="1"/>
  <c r="N11" i="2" a="1"/>
  <c r="N11" i="2" s="1"/>
  <c r="D6" i="3"/>
  <c r="D7" i="3" s="1"/>
  <c r="D8" i="3" s="1"/>
  <c r="D9" i="3" l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F22" i="1" a="1"/>
  <c r="F22" i="1" s="1"/>
  <c r="F26" i="1" s="1"/>
  <c r="L19" i="1" s="1"/>
  <c r="D8" i="9"/>
  <c r="F8" i="9" s="1"/>
  <c r="E9" i="9" s="1"/>
  <c r="D9" i="9" l="1"/>
  <c r="F9" i="9" s="1"/>
  <c r="E10" i="9" s="1"/>
  <c r="D10" i="9" l="1"/>
  <c r="F10" i="9" s="1"/>
  <c r="E11" i="9" s="1"/>
  <c r="D11" i="9" l="1"/>
  <c r="F11" i="9" s="1"/>
  <c r="E12" i="9" s="1"/>
  <c r="D12" i="9" l="1"/>
  <c r="F12" i="9" s="1"/>
  <c r="E13" i="9" s="1"/>
  <c r="D13" i="9" l="1"/>
  <c r="F13" i="9" l="1"/>
  <c r="E14" i="9" s="1"/>
  <c r="D14" i="9" l="1"/>
  <c r="F14" i="9" l="1"/>
  <c r="E15" i="9" s="1"/>
  <c r="D15" i="9" s="1"/>
  <c r="F15" i="9" s="1"/>
  <c r="E16" i="9" s="1"/>
  <c r="D16" i="9" l="1"/>
  <c r="F16" i="9" l="1"/>
  <c r="E17" i="9" l="1"/>
  <c r="D17" i="9" s="1"/>
  <c r="F17" i="9" l="1"/>
  <c r="E18" i="9" s="1"/>
  <c r="D18" i="9" s="1"/>
  <c r="F18" i="9" s="1"/>
  <c r="E19" i="9" s="1"/>
  <c r="D19" i="9" l="1"/>
  <c r="F19" i="9"/>
  <c r="E20" i="9" s="1"/>
  <c r="D20" i="9" s="1"/>
  <c r="F20" i="9" s="1"/>
  <c r="E21" i="9" s="1"/>
  <c r="D21" i="9" l="1"/>
  <c r="F21" i="9" l="1"/>
  <c r="E22" i="9" s="1"/>
  <c r="D22" i="9" s="1"/>
  <c r="F22" i="9" s="1"/>
  <c r="E23" i="9" s="1"/>
  <c r="D23" i="9" l="1"/>
  <c r="F23" i="9" s="1"/>
  <c r="E24" i="9" s="1"/>
  <c r="D24" i="9" l="1"/>
  <c r="F24" i="9" l="1"/>
  <c r="E25" i="9" l="1"/>
  <c r="D25" i="9" s="1"/>
  <c r="F25" i="9" s="1"/>
  <c r="E26" i="9" l="1"/>
  <c r="D26" i="9" s="1"/>
  <c r="F26" i="9" s="1"/>
  <c r="E27" i="9" s="1"/>
  <c r="D27" i="9" l="1"/>
  <c r="F27" i="9" s="1"/>
  <c r="E28" i="9" s="1"/>
  <c r="D28" i="9" s="1"/>
  <c r="F28" i="9" s="1"/>
  <c r="E29" i="9" s="1"/>
  <c r="D29" i="9" l="1"/>
  <c r="F29" i="9" s="1"/>
  <c r="E30" i="9" s="1"/>
  <c r="D30" i="9" l="1"/>
  <c r="F30" i="9" s="1"/>
  <c r="E31" i="9" s="1"/>
  <c r="D31" i="9" l="1"/>
  <c r="F31" i="9" s="1"/>
  <c r="E32" i="9" s="1"/>
  <c r="D32" i="9" l="1"/>
  <c r="F32" i="9" s="1"/>
  <c r="E33" i="9" s="1"/>
  <c r="D33" i="9" l="1"/>
  <c r="F33" i="9" s="1"/>
  <c r="E34" i="9" s="1"/>
  <c r="D34" i="9" l="1"/>
  <c r="F34" i="9" s="1"/>
  <c r="E35" i="9" s="1"/>
  <c r="D35" i="9" l="1"/>
  <c r="F35" i="9" s="1"/>
  <c r="E36" i="9" s="1"/>
  <c r="D36" i="9" l="1"/>
  <c r="F36" i="9" l="1"/>
  <c r="E37" i="9" s="1"/>
  <c r="D37" i="9" s="1"/>
  <c r="F37" i="9" s="1"/>
  <c r="E38" i="9" s="1"/>
  <c r="D38" i="9" l="1"/>
  <c r="F38" i="9" l="1"/>
  <c r="E39" i="9" l="1"/>
  <c r="D39" i="9" s="1"/>
  <c r="F39" i="9" l="1"/>
  <c r="E40" i="9" s="1"/>
  <c r="D40" i="9"/>
  <c r="F40" i="9" s="1"/>
  <c r="E41" i="9" s="1"/>
  <c r="D41" i="9" l="1"/>
  <c r="F41" i="9" s="1"/>
  <c r="E42" i="9" s="1"/>
  <c r="D42" i="9" s="1"/>
  <c r="F42" i="9" s="1"/>
  <c r="E43" i="9" s="1"/>
  <c r="D43" i="9" l="1"/>
  <c r="F43" i="9" s="1"/>
  <c r="E44" i="9" s="1"/>
  <c r="D44" i="9" l="1"/>
  <c r="F44" i="9" s="1"/>
  <c r="E45" i="9" s="1"/>
  <c r="D45" i="9" l="1"/>
  <c r="F45" i="9" s="1"/>
  <c r="E46" i="9" s="1"/>
  <c r="D46" i="9" l="1"/>
  <c r="F46" i="9" l="1"/>
  <c r="E47" i="9" s="1"/>
  <c r="D47" i="9"/>
  <c r="F47" i="9" s="1"/>
  <c r="E48" i="9" s="1"/>
  <c r="D48" i="9" l="1"/>
  <c r="F48" i="9" s="1"/>
  <c r="E49" i="9" s="1"/>
  <c r="D49" i="9" l="1"/>
  <c r="F49" i="9" s="1"/>
  <c r="E50" i="9" s="1"/>
  <c r="D50" i="9" l="1"/>
  <c r="F50" i="9" s="1"/>
  <c r="E51" i="9" s="1"/>
  <c r="D51" i="9" l="1"/>
  <c r="F51" i="9" s="1"/>
  <c r="E52" i="9" s="1"/>
  <c r="D52" i="9" l="1"/>
  <c r="F52" i="9" l="1"/>
  <c r="E53" i="9" s="1"/>
  <c r="D53" i="9" s="1"/>
  <c r="F53" i="9" s="1"/>
  <c r="E54" i="9" s="1"/>
  <c r="D54" i="9" l="1"/>
  <c r="F54" i="9" s="1"/>
  <c r="E55" i="9" s="1"/>
  <c r="D55" i="9" l="1"/>
  <c r="F55" i="9" s="1"/>
  <c r="E56" i="9" s="1"/>
  <c r="D56" i="9" l="1"/>
  <c r="F56" i="9" s="1"/>
  <c r="E57" i="9" s="1"/>
  <c r="D57" i="9" l="1"/>
  <c r="F57" i="9" s="1"/>
  <c r="E58" i="9" s="1"/>
  <c r="D58" i="9" l="1"/>
  <c r="F58" i="9" s="1"/>
  <c r="E59" i="9" s="1"/>
  <c r="D59" i="9" l="1"/>
  <c r="F59" i="9" s="1"/>
  <c r="E60" i="9" s="1"/>
  <c r="D60" i="9" l="1"/>
  <c r="F60" i="9" s="1"/>
  <c r="E61" i="9" s="1"/>
  <c r="D61" i="9" l="1"/>
  <c r="F61" i="9" s="1"/>
  <c r="E62" i="9" s="1"/>
  <c r="D62" i="9" l="1"/>
  <c r="F62" i="9" l="1"/>
  <c r="E63" i="9" s="1"/>
  <c r="D63" i="9" s="1"/>
  <c r="F63" i="9" s="1"/>
  <c r="E64" i="9" s="1"/>
  <c r="D64" i="9" l="1"/>
  <c r="F64" i="9" s="1"/>
  <c r="E65" i="9" s="1"/>
  <c r="D65" i="9" l="1"/>
  <c r="F65" i="9" s="1"/>
  <c r="E66" i="9" s="1"/>
  <c r="D66" i="9" l="1"/>
  <c r="F66" i="9" l="1"/>
  <c r="E67" i="9" l="1"/>
  <c r="D67" i="9" s="1"/>
  <c r="F67" i="9" l="1"/>
  <c r="E68" i="9" s="1"/>
  <c r="D68" i="9" s="1"/>
  <c r="F68" i="9" s="1"/>
  <c r="E69" i="9" s="1"/>
  <c r="D69" i="9" l="1"/>
  <c r="F69" i="9" s="1"/>
  <c r="E70" i="9" s="1"/>
  <c r="D70" i="9" s="1"/>
  <c r="F70" i="9" s="1"/>
  <c r="E71" i="9" s="1"/>
  <c r="D71" i="9" l="1"/>
  <c r="F71" i="9" l="1"/>
  <c r="E72" i="9" s="1"/>
  <c r="D72" i="9" s="1"/>
  <c r="F72" i="9" s="1"/>
  <c r="E73" i="9" s="1"/>
  <c r="D73" i="9" l="1"/>
  <c r="F73" i="9" s="1"/>
  <c r="E74" i="9" s="1"/>
  <c r="D74" i="9" l="1"/>
  <c r="F74" i="9" l="1"/>
  <c r="E75" i="9" s="1"/>
  <c r="D75" i="9" s="1"/>
  <c r="F75" i="9" s="1"/>
  <c r="E76" i="9" s="1"/>
  <c r="D76" i="9" l="1"/>
  <c r="F76" i="9" s="1"/>
  <c r="E77" i="9" s="1"/>
  <c r="D77" i="9" l="1"/>
  <c r="F77" i="9" s="1"/>
  <c r="E78" i="9" s="1"/>
  <c r="D78" i="9" l="1"/>
  <c r="F78" i="9" s="1"/>
  <c r="E79" i="9" s="1"/>
  <c r="D79" i="9" l="1"/>
  <c r="F79" i="9" l="1"/>
  <c r="E80" i="9" l="1"/>
  <c r="D80" i="9" s="1"/>
  <c r="F80" i="9" l="1"/>
  <c r="E81" i="9" s="1"/>
  <c r="D81" i="9" s="1"/>
  <c r="F81" i="9" s="1"/>
  <c r="E82" i="9" s="1"/>
  <c r="D82" i="9" l="1"/>
  <c r="F82" i="9" s="1"/>
  <c r="E83" i="9" s="1"/>
  <c r="D83" i="9"/>
  <c r="F83" i="9" s="1"/>
  <c r="E84" i="9" s="1"/>
  <c r="D84" i="9" l="1"/>
  <c r="F84" i="9" s="1"/>
  <c r="E85" i="9" s="1"/>
  <c r="D85" i="9" l="1"/>
  <c r="F85" i="9" l="1"/>
  <c r="E86" i="9" s="1"/>
  <c r="D86" i="9"/>
  <c r="F86" i="9" s="1"/>
  <c r="E87" i="9" s="1"/>
  <c r="D87" i="9" l="1"/>
  <c r="F87" i="9" s="1"/>
  <c r="E88" i="9" s="1"/>
  <c r="D88" i="9" l="1"/>
  <c r="F88" i="9" s="1"/>
  <c r="E89" i="9" s="1"/>
  <c r="D89" i="9" l="1"/>
  <c r="F89" i="9" s="1"/>
  <c r="E90" i="9" s="1"/>
  <c r="D90" i="9" l="1"/>
  <c r="F90" i="9" s="1"/>
  <c r="E91" i="9" s="1"/>
  <c r="D91" i="9" l="1"/>
  <c r="F91" i="9" l="1"/>
  <c r="E92" i="9" l="1"/>
  <c r="D92" i="9" s="1"/>
  <c r="F92" i="9" l="1"/>
  <c r="E93" i="9" s="1"/>
  <c r="D93" i="9" s="1"/>
  <c r="F93" i="9" l="1"/>
  <c r="E94" i="9" s="1"/>
  <c r="D94" i="9" s="1"/>
  <c r="F94" i="9" s="1"/>
  <c r="E95" i="9" s="1"/>
  <c r="D95" i="9" l="1"/>
  <c r="F95" i="9" s="1"/>
  <c r="E96" i="9" s="1"/>
  <c r="D96" i="9" s="1"/>
  <c r="F96" i="9" s="1"/>
  <c r="E97" i="9" s="1"/>
  <c r="D97" i="9" l="1"/>
  <c r="F97" i="9" s="1"/>
  <c r="E98" i="9" s="1"/>
  <c r="D98" i="9" l="1"/>
  <c r="F98" i="9" s="1"/>
  <c r="E99" i="9" s="1"/>
  <c r="D99" i="9" l="1"/>
  <c r="F99" i="9" s="1"/>
  <c r="E100" i="9" s="1"/>
  <c r="D100" i="9" l="1"/>
  <c r="F100" i="9" l="1"/>
  <c r="E101" i="9" s="1"/>
  <c r="D101" i="9"/>
  <c r="F101" i="9" s="1"/>
  <c r="E102" i="9" s="1"/>
  <c r="D102" i="9" l="1"/>
  <c r="F102" i="9" s="1"/>
  <c r="E103" i="9" s="1"/>
  <c r="D103" i="9" l="1"/>
  <c r="F103" i="9" s="1"/>
  <c r="E104" i="9" s="1"/>
  <c r="D104" i="9" l="1"/>
  <c r="F104" i="9" s="1"/>
  <c r="E105" i="9" s="1"/>
  <c r="D105" i="9" l="1"/>
  <c r="F105" i="9" s="1"/>
  <c r="E106" i="9" s="1"/>
  <c r="D106" i="9" l="1"/>
  <c r="F106" i="9" s="1"/>
  <c r="E107" i="9" s="1"/>
  <c r="D107" i="9" l="1"/>
  <c r="F107" i="9" s="1"/>
  <c r="E108" i="9" s="1"/>
  <c r="D108" i="9" l="1"/>
  <c r="F108" i="9" s="1"/>
  <c r="E109" i="9" s="1"/>
  <c r="D109" i="9" l="1"/>
  <c r="F109" i="9" s="1"/>
  <c r="E110" i="9" s="1"/>
  <c r="D110" i="9" l="1"/>
  <c r="F110" i="9" s="1"/>
  <c r="E111" i="9" s="1"/>
  <c r="D111" i="9" l="1"/>
  <c r="F111" i="9" s="1"/>
  <c r="E112" i="9" s="1"/>
  <c r="D112" i="9" l="1"/>
  <c r="F112" i="9" s="1"/>
  <c r="E113" i="9" s="1"/>
  <c r="D113" i="9" l="1"/>
  <c r="F113" i="9" l="1"/>
  <c r="E114" i="9" l="1"/>
  <c r="D114" i="9" s="1"/>
  <c r="F114" i="9" l="1"/>
  <c r="E115" i="9" s="1"/>
  <c r="D115" i="9" s="1"/>
  <c r="F115" i="9" l="1"/>
  <c r="E116" i="9" s="1"/>
  <c r="D116" i="9" s="1"/>
  <c r="F116" i="9" l="1"/>
  <c r="E117" i="9" s="1"/>
  <c r="D117" i="9"/>
  <c r="F117" i="9" s="1"/>
  <c r="E118" i="9" s="1"/>
  <c r="D118" i="9" l="1"/>
  <c r="F118" i="9" s="1"/>
  <c r="E119" i="9" s="1"/>
  <c r="D119" i="9"/>
  <c r="F119" i="9" s="1"/>
  <c r="E120" i="9" s="1"/>
  <c r="D120" i="9" l="1"/>
  <c r="F120" i="9" l="1"/>
  <c r="E121" i="9" l="1"/>
  <c r="D121" i="9" s="1"/>
  <c r="F121" i="9" l="1"/>
  <c r="E122" i="9" s="1"/>
  <c r="D122" i="9" s="1"/>
  <c r="F122" i="9" s="1"/>
  <c r="E123" i="9" s="1"/>
  <c r="D123" i="9" s="1"/>
  <c r="F123" i="9" s="1"/>
  <c r="E124" i="9" s="1"/>
  <c r="D124" i="9" l="1"/>
  <c r="F124" i="9" l="1"/>
  <c r="E125" i="9" s="1"/>
  <c r="D125" i="9"/>
  <c r="F125" i="9" s="1"/>
  <c r="E126" i="9" s="1"/>
  <c r="D126" i="9" l="1"/>
  <c r="F126" i="9" s="1"/>
  <c r="E127" i="9" s="1"/>
  <c r="D127" i="9" l="1"/>
  <c r="F127" i="9" s="1"/>
  <c r="E128" i="9" s="1"/>
  <c r="D128" i="9" l="1"/>
  <c r="F128" i="9" s="1"/>
  <c r="E129" i="9" s="1"/>
  <c r="D129" i="9" l="1"/>
  <c r="F129" i="9" s="1"/>
  <c r="E130" i="9" s="1"/>
  <c r="D130" i="9" l="1"/>
  <c r="F130" i="9" s="1"/>
  <c r="E131" i="9" s="1"/>
  <c r="D131" i="9" l="1"/>
  <c r="F131" i="9" l="1"/>
  <c r="E132" i="9" l="1"/>
  <c r="D132" i="9" s="1"/>
  <c r="F132" i="9" l="1"/>
  <c r="E133" i="9" s="1"/>
  <c r="D133" i="9"/>
  <c r="F133" i="9" s="1"/>
  <c r="E134" i="9" s="1"/>
  <c r="D134" i="9" s="1"/>
  <c r="F134" i="9" l="1"/>
  <c r="E135" i="9" l="1"/>
  <c r="D135" i="9" s="1"/>
  <c r="F135" i="9" l="1"/>
  <c r="E136" i="9" s="1"/>
  <c r="D136" i="9" s="1"/>
  <c r="F136" i="9" l="1"/>
  <c r="E137" i="9" s="1"/>
  <c r="D137" i="9" s="1"/>
  <c r="F137" i="9" s="1"/>
  <c r="E138" i="9" s="1"/>
  <c r="D138" i="9" s="1"/>
  <c r="F138" i="9" s="1"/>
  <c r="E139" i="9" s="1"/>
  <c r="D139" i="9" l="1"/>
  <c r="F139" i="9" s="1"/>
  <c r="E140" i="9" s="1"/>
  <c r="D140" i="9" l="1"/>
  <c r="F140" i="9" l="1"/>
  <c r="E141" i="9" l="1"/>
  <c r="D141" i="9" s="1"/>
  <c r="F141" i="9" l="1"/>
  <c r="E142" i="9" s="1"/>
  <c r="D142" i="9" s="1"/>
  <c r="F142" i="9" s="1"/>
  <c r="E143" i="9" s="1"/>
  <c r="D143" i="9" s="1"/>
  <c r="F143" i="9" s="1"/>
  <c r="E144" i="9" s="1"/>
  <c r="D144" i="9" l="1"/>
  <c r="F144" i="9" s="1"/>
  <c r="E145" i="9" s="1"/>
  <c r="D145" i="9" l="1"/>
  <c r="F145" i="9" s="1"/>
  <c r="E146" i="9" s="1"/>
  <c r="D146" i="9" l="1"/>
  <c r="F146" i="9" s="1"/>
  <c r="E147" i="9" s="1"/>
  <c r="D147" i="9" l="1"/>
  <c r="F147" i="9" s="1"/>
  <c r="E148" i="9" s="1"/>
  <c r="D148" i="9" l="1"/>
  <c r="F148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<sst xmlns="http://schemas.openxmlformats.org/spreadsheetml/2006/main" count="1237" uniqueCount="93">
  <si>
    <t>Adresse</t>
  </si>
  <si>
    <t>Fin de credit</t>
  </si>
  <si>
    <t xml:space="preserve"> Taxe Fonciere</t>
  </si>
  <si>
    <t>Montant mensualité</t>
  </si>
  <si>
    <t>22 RUE SERY 13003</t>
  </si>
  <si>
    <t>74 RUE MONTE-CRISTO 13004</t>
  </si>
  <si>
    <t>47 RUE DANTON RDC 13003</t>
  </si>
  <si>
    <t>83 BD ODDO 13015</t>
  </si>
  <si>
    <t>4 RUE MIREILLE 13400</t>
  </si>
  <si>
    <t>25 BD NOTRE DAME 13006</t>
  </si>
  <si>
    <t>47 RUE DANTON 1er  13003</t>
  </si>
  <si>
    <t xml:space="preserve">          Fev-38</t>
  </si>
  <si>
    <t>TOTAL</t>
  </si>
  <si>
    <t>TYPE 2</t>
  </si>
  <si>
    <t>TYPE 2/3</t>
  </si>
  <si>
    <t>TYPE 1+TERRASSE</t>
  </si>
  <si>
    <t>TYPE 2+TERRASSE</t>
  </si>
  <si>
    <t>Valeur de revente</t>
  </si>
  <si>
    <t>SCI IR BENEDUC</t>
  </si>
  <si>
    <t>Credit Résiduel</t>
  </si>
  <si>
    <t>Cash mensuel</t>
  </si>
  <si>
    <t>Mensualités JF</t>
  </si>
  <si>
    <t>Type de bien</t>
  </si>
  <si>
    <t>Nombre d'appartement</t>
  </si>
  <si>
    <t>Loyer mens HC</t>
  </si>
  <si>
    <t>Loyer ann HC</t>
  </si>
  <si>
    <t xml:space="preserve">         Fev-35</t>
  </si>
  <si>
    <t>47 RUE DANTON  13003</t>
  </si>
  <si>
    <t>Mois</t>
  </si>
  <si>
    <t>Année</t>
  </si>
  <si>
    <t>Novembre</t>
  </si>
  <si>
    <t>Décembre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</si>
  <si>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</si>
  <si>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</si>
  <si>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</si>
  <si>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</si>
  <si>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</si>
  <si>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</si>
  <si>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</si>
  <si>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</si>
  <si>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</si>
  <si>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</si>
  <si>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SCI IR TROIKA</t>
  </si>
  <si>
    <t>type de bien</t>
  </si>
  <si>
    <t>23 RUE ROGER SCHIAFFINI 13003</t>
  </si>
  <si>
    <t>IMMEUBLE 8LOTS</t>
  </si>
  <si>
    <t>2 RUE DEVILLIERS 13005</t>
  </si>
  <si>
    <t>23 RUE ANTOINE MAILLE 13005</t>
  </si>
  <si>
    <t>T2 + Terrasse</t>
  </si>
  <si>
    <t>13 RUE ROUSSEL DORIA 13004</t>
  </si>
  <si>
    <t>13 RUE ROGER SCHIAFFINI 13003</t>
  </si>
  <si>
    <t>Total</t>
  </si>
  <si>
    <t>loyer men HC</t>
  </si>
  <si>
    <t>Capital</t>
  </si>
  <si>
    <t>SCI IS LA VISTA</t>
  </si>
  <si>
    <t>Maison Mathieu</t>
  </si>
  <si>
    <t>Local professionnel</t>
  </si>
  <si>
    <t>Nombre de locaux</t>
  </si>
  <si>
    <t xml:space="preserve">                            Amortissement SCI IS LA VISTA</t>
  </si>
  <si>
    <t>Part JF crédit 33%</t>
  </si>
  <si>
    <t>Part JF crédit 50%</t>
  </si>
  <si>
    <t xml:space="preserve">   Amortissement BENEDUC</t>
  </si>
  <si>
    <t xml:space="preserve">          Amortissement TROIKA</t>
  </si>
  <si>
    <t xml:space="preserve">TYPE 2/3 </t>
  </si>
  <si>
    <t>2 T2 et 1 T1</t>
  </si>
  <si>
    <t>221 Boulevard de la libération</t>
  </si>
  <si>
    <t>Local commercial</t>
  </si>
  <si>
    <t>Capital 2</t>
  </si>
  <si>
    <t>33 chemin du petit pin vert</t>
  </si>
  <si>
    <t>Nombre de biens</t>
  </si>
  <si>
    <t>Capital déduit</t>
  </si>
  <si>
    <t>Mensualité hors assurance (€)</t>
  </si>
  <si>
    <t>Intérêts (€)</t>
  </si>
  <si>
    <t>Capital restant dû (€)</t>
  </si>
  <si>
    <t>Autres frais inclus</t>
  </si>
  <si>
    <t>Mensualité hors assurance</t>
  </si>
  <si>
    <t>Capital remboursé</t>
  </si>
  <si>
    <t>Mensualités AN</t>
  </si>
  <si>
    <t xml:space="preserve">                                Amortissement résidence principale</t>
  </si>
  <si>
    <t>Maison 140m2</t>
  </si>
  <si>
    <t>Part crédit Johann Faraut  66%</t>
  </si>
  <si>
    <t>Part crédit Alexandre Niel  34%</t>
  </si>
  <si>
    <t xml:space="preserve">Residence principale </t>
  </si>
  <si>
    <t>221 BD LIBERATION 13004</t>
  </si>
  <si>
    <t>221 bd de la libération</t>
  </si>
  <si>
    <t>TYPE 1</t>
  </si>
  <si>
    <t>221 Bd libération</t>
  </si>
  <si>
    <t>Capital amorti</t>
  </si>
  <si>
    <t>Assurance groupe prélevée par le prêteur</t>
  </si>
  <si>
    <t>Echeance (ass. Groupe prélevée par le prêteur* incluse)</t>
  </si>
  <si>
    <t>taux annuel</t>
  </si>
  <si>
    <t>taux mensuel</t>
  </si>
  <si>
    <t>mensualité normal assurance incluse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</si>
</sst>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&quot;€&quot;_-;\-* #,##0.00\ &quot;€&quot;_-;_-* &quot;-&quot;??\ &quot;€&quot;_-;_-@_-"/>
    <numFmt numFmtId="165" formatCode="_-* #,##0\ &quot;€&quot;_-;\-* #,##0\ &quot;€&quot;_-;_-* &quot;-&quot;??\ &quot;€&quot;_-;_-@_-"/>
    <numFmt numFmtId="166" formatCode="[$-40C]mmm\-yy;@"/>
    <numFmt numFmtId="167" formatCode="[$-40C]mmmm\-yy;@"/>
  </numFmts>
  <fonts count="1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 tint="-0.14999847407452621"/>
      <name val="Bahnschrift"/>
      <family val="2"/>
    </font>
    <font>
      <sz val="14"/>
      <color theme="2" tint="-0.89999084444715716"/>
      <name val="Bahnschrift"/>
      <family val="2"/>
    </font>
    <font>
      <sz val="12"/>
      <color theme="0"/>
      <name val="Calibri"/>
      <family val="2"/>
      <scheme val="minor"/>
    </font>
    <font>
      <sz val="16"/>
      <color theme="0"/>
      <name val="Bahnschrift"/>
      <family val="2"/>
    </font>
    <font>
      <sz val="8"/>
      <color theme="2" tint="-0.89999084444715716"/>
      <name val="Bahnschrift"/>
      <family val="2"/>
    </font>
    <font>
      <sz val="36"/>
      <color theme="0"/>
      <name val="Bahnschrift"/>
      <family val="2"/>
    </font>
    <font>
      <sz val="16"/>
      <color theme="1"/>
      <name val="Bahnschrift"/>
      <family val="2"/>
    </font>
    <font>
      <sz val="14"/>
      <color theme="0"/>
      <name val="Bahnschrift"/>
      <family val="2"/>
    </font>
    <font>
      <sz val="48"/>
      <color theme="0"/>
      <name val="Bahnschrift"/>
      <family val="2"/>
    </font>
    <font>
      <sz val="8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2"/>
      <color theme="0"/>
      <name val="Bahnschrift"/>
      <family val="2"/>
    </font>
    <font>
      <sz val="9"/>
      <color theme="0"/>
      <name val="Bahnschrift"/>
      <family val="2"/>
    </font>
    <font>
      <sz val="28"/>
      <color theme="0"/>
      <name val="Bahnschrift"/>
      <family val="2"/>
    </font>
  </fonts>
  <fills count="26">
    <fill>
      <patternFill patternType="none"/>
    </fill>
    <fill>
      <patternFill patternType="gray125"/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5" tint="0.5999938962981048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theme="0" tint="-0.3499862666707357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 tint="-0.499984740745262"/>
        <bgColor theme="0" tint="-0.14999847407452621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theme="0" tint="-0.14999847407452621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920000"/>
        <bgColor indexed="64"/>
      </patternFill>
    </fill>
    <fill>
      <patternFill patternType="solid">
        <fgColor rgb="FFFFD9D9"/>
        <bgColor indexed="64"/>
      </patternFill>
    </fill>
    <fill>
      <patternFill patternType="solid">
        <fgColor rgb="FFFFEFEF"/>
        <bgColor indexed="64"/>
      </patternFill>
    </fill>
    <fill>
      <patternFill patternType="solid">
        <fgColor rgb="FF920000"/>
        <bgColor theme="0" tint="-0.14999847407452621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D9D9"/>
        <bgColor theme="0" tint="-0.34998626667073579"/>
      </patternFill>
    </fill>
    <fill>
      <patternFill patternType="solid">
        <fgColor theme="9" tint="-0.49998474074526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1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0"/>
      </top>
      <bottom style="thin">
        <color theme="1"/>
      </bottom>
      <diagonal/>
    </border>
    <border>
      <left style="thin">
        <color theme="0"/>
      </left>
      <right/>
      <top style="thin">
        <color theme="1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0"/>
      </bottom>
      <diagonal/>
    </border>
    <border>
      <left/>
      <right style="thin">
        <color theme="1"/>
      </right>
      <top style="thin">
        <color theme="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0"/>
      </top>
      <bottom/>
      <diagonal/>
    </border>
    <border>
      <left style="thin">
        <color theme="1"/>
      </left>
      <right style="thin">
        <color theme="1"/>
      </right>
      <top/>
      <bottom style="thin">
        <color theme="0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53">
    <xf numFmtId="0" fontId="0" fillId="0" borderId="0" xfId="0"/>
    <xf numFmtId="0" fontId="0" fillId="0" borderId="1" xfId="0" applyBorder="1"/>
    <xf numFmtId="164" fontId="0" fillId="0" borderId="0" xfId="0" applyNumberFormat="1"/>
    <xf numFmtId="0" fontId="5" fillId="7" borderId="9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64" fontId="3" fillId="0" borderId="1" xfId="1" applyFont="1" applyBorder="1" applyAlignment="1">
      <alignment vertical="center" wrapText="1"/>
    </xf>
    <xf numFmtId="0" fontId="0" fillId="0" borderId="0" xfId="0" applyAlignment="1">
      <alignment vertical="center"/>
    </xf>
    <xf numFmtId="9" fontId="1" fillId="0" borderId="0" xfId="0" applyNumberFormat="1" applyFont="1" applyAlignment="1">
      <alignment vertical="center"/>
    </xf>
    <xf numFmtId="164" fontId="3" fillId="0" borderId="2" xfId="1" applyFont="1" applyBorder="1" applyAlignment="1">
      <alignment vertical="center" wrapText="1"/>
    </xf>
    <xf numFmtId="164" fontId="0" fillId="0" borderId="10" xfId="0" applyNumberFormat="1" applyBorder="1" applyAlignment="1">
      <alignment wrapText="1"/>
    </xf>
    <xf numFmtId="164" fontId="0" fillId="0" borderId="11" xfId="0" applyNumberFormat="1" applyBorder="1" applyAlignment="1">
      <alignment wrapText="1"/>
    </xf>
    <xf numFmtId="164" fontId="0" fillId="9" borderId="10" xfId="0" applyNumberFormat="1" applyFill="1" applyBorder="1" applyAlignment="1">
      <alignment wrapText="1"/>
    </xf>
    <xf numFmtId="164" fontId="0" fillId="0" borderId="14" xfId="0" applyNumberFormat="1" applyBorder="1" applyAlignment="1">
      <alignment wrapText="1"/>
    </xf>
    <xf numFmtId="164" fontId="0" fillId="0" borderId="15" xfId="0" applyNumberFormat="1" applyBorder="1" applyAlignment="1">
      <alignment wrapText="1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/>
    <xf numFmtId="0" fontId="8" fillId="7" borderId="10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4" fontId="0" fillId="0" borderId="1" xfId="0" applyNumberFormat="1" applyBorder="1" applyAlignment="1">
      <alignment wrapText="1"/>
    </xf>
    <xf numFmtId="0" fontId="4" fillId="8" borderId="17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/>
    </xf>
    <xf numFmtId="164" fontId="10" fillId="0" borderId="1" xfId="1" applyFont="1" applyFill="1" applyBorder="1" applyAlignment="1">
      <alignment horizontal="right" vertical="center"/>
    </xf>
    <xf numFmtId="164" fontId="10" fillId="0" borderId="1" xfId="0" applyNumberFormat="1" applyFont="1" applyBorder="1" applyAlignment="1">
      <alignment horizontal="right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11" fillId="8" borderId="14" xfId="0" applyFont="1" applyFill="1" applyBorder="1" applyAlignment="1">
      <alignment horizontal="center" vertical="center" wrapText="1"/>
    </xf>
    <xf numFmtId="0" fontId="11" fillId="8" borderId="12" xfId="0" applyFont="1" applyFill="1" applyBorder="1" applyAlignment="1">
      <alignment horizontal="center" vertical="center" wrapText="1"/>
    </xf>
    <xf numFmtId="0" fontId="11" fillId="15" borderId="12" xfId="0" applyFont="1" applyFill="1" applyBorder="1" applyAlignment="1">
      <alignment horizontal="center" vertical="center" wrapText="1"/>
    </xf>
    <xf numFmtId="0" fontId="11" fillId="15" borderId="13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1" fillId="8" borderId="10" xfId="0" applyFont="1" applyFill="1" applyBorder="1" applyAlignment="1">
      <alignment horizontal="center" vertical="center" wrapText="1"/>
    </xf>
    <xf numFmtId="0" fontId="11" fillId="15" borderId="10" xfId="0" applyFont="1" applyFill="1" applyBorder="1" applyAlignment="1">
      <alignment horizontal="center" vertical="center" wrapText="1"/>
    </xf>
    <xf numFmtId="0" fontId="11" fillId="15" borderId="1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0" fontId="4" fillId="8" borderId="19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164" fontId="3" fillId="0" borderId="17" xfId="1" applyFont="1" applyBorder="1" applyAlignment="1">
      <alignment vertical="center" wrapText="1"/>
    </xf>
    <xf numFmtId="0" fontId="4" fillId="8" borderId="20" xfId="0" applyFont="1" applyFill="1" applyBorder="1" applyAlignment="1">
      <alignment horizontal="center" vertical="center" wrapText="1"/>
    </xf>
    <xf numFmtId="167" fontId="3" fillId="4" borderId="4" xfId="0" applyNumberFormat="1" applyFont="1" applyFill="1" applyBorder="1" applyAlignment="1">
      <alignment horizontal="right" vertical="center" wrapText="1"/>
    </xf>
    <xf numFmtId="167" fontId="3" fillId="6" borderId="4" xfId="0" applyNumberFormat="1" applyFont="1" applyFill="1" applyBorder="1" applyAlignment="1">
      <alignment horizontal="right" vertical="center" wrapText="1"/>
    </xf>
    <xf numFmtId="167" fontId="3" fillId="5" borderId="5" xfId="0" applyNumberFormat="1" applyFont="1" applyFill="1" applyBorder="1" applyAlignment="1">
      <alignment horizontal="right" vertical="center" wrapText="1"/>
    </xf>
    <xf numFmtId="0" fontId="5" fillId="7" borderId="22" xfId="0" applyFont="1" applyFill="1" applyBorder="1" applyAlignment="1">
      <alignment horizontal="left" vertical="center" wrapText="1"/>
    </xf>
    <xf numFmtId="164" fontId="3" fillId="0" borderId="27" xfId="1" applyFont="1" applyBorder="1" applyAlignment="1">
      <alignment vertical="center" wrapText="1"/>
    </xf>
    <xf numFmtId="164" fontId="3" fillId="0" borderId="28" xfId="1" applyFont="1" applyBorder="1" applyAlignment="1">
      <alignment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164" fontId="3" fillId="3" borderId="31" xfId="1" applyFont="1" applyFill="1" applyBorder="1" applyAlignment="1">
      <alignment vertical="center" wrapText="1"/>
    </xf>
    <xf numFmtId="164" fontId="3" fillId="2" borderId="31" xfId="1" applyFont="1" applyFill="1" applyBorder="1" applyAlignment="1">
      <alignment vertical="center" wrapText="1"/>
    </xf>
    <xf numFmtId="164" fontId="3" fillId="10" borderId="31" xfId="1" applyFont="1" applyFill="1" applyBorder="1" applyAlignment="1">
      <alignment vertical="center" wrapText="1"/>
    </xf>
    <xf numFmtId="164" fontId="3" fillId="2" borderId="32" xfId="1" applyFont="1" applyFill="1" applyBorder="1" applyAlignment="1">
      <alignment vertical="center" wrapText="1"/>
    </xf>
    <xf numFmtId="164" fontId="3" fillId="10" borderId="32" xfId="1" applyFont="1" applyFill="1" applyBorder="1" applyAlignment="1">
      <alignment vertical="center" wrapText="1"/>
    </xf>
    <xf numFmtId="164" fontId="3" fillId="11" borderId="32" xfId="1" applyFont="1" applyFill="1" applyBorder="1" applyAlignment="1">
      <alignment vertical="center" wrapText="1"/>
    </xf>
    <xf numFmtId="164" fontId="3" fillId="12" borderId="32" xfId="1" applyFont="1" applyFill="1" applyBorder="1" applyAlignment="1">
      <alignment vertical="center" wrapText="1"/>
    </xf>
    <xf numFmtId="166" fontId="3" fillId="6" borderId="4" xfId="0" applyNumberFormat="1" applyFont="1" applyFill="1" applyBorder="1" applyAlignment="1">
      <alignment horizontal="right" vertical="center" wrapText="1"/>
    </xf>
    <xf numFmtId="166" fontId="3" fillId="5" borderId="5" xfId="0" applyNumberFormat="1" applyFont="1" applyFill="1" applyBorder="1" applyAlignment="1">
      <alignment horizontal="right" vertical="center" wrapText="1"/>
    </xf>
    <xf numFmtId="164" fontId="3" fillId="2" borderId="9" xfId="1" applyFont="1" applyFill="1" applyBorder="1" applyAlignment="1">
      <alignment vertical="center" wrapText="1"/>
    </xf>
    <xf numFmtId="164" fontId="3" fillId="10" borderId="9" xfId="1" applyFont="1" applyFill="1" applyBorder="1" applyAlignment="1">
      <alignment vertical="center" wrapText="1"/>
    </xf>
    <xf numFmtId="164" fontId="3" fillId="3" borderId="9" xfId="1" applyFont="1" applyFill="1" applyBorder="1" applyAlignment="1">
      <alignment vertical="center" wrapText="1"/>
    </xf>
    <xf numFmtId="164" fontId="3" fillId="12" borderId="9" xfId="1" applyFont="1" applyFill="1" applyBorder="1" applyAlignment="1">
      <alignment vertical="center" wrapText="1"/>
    </xf>
    <xf numFmtId="164" fontId="3" fillId="11" borderId="9" xfId="1" applyFont="1" applyFill="1" applyBorder="1" applyAlignment="1">
      <alignment vertical="center" wrapText="1"/>
    </xf>
    <xf numFmtId="0" fontId="5" fillId="7" borderId="37" xfId="0" applyFont="1" applyFill="1" applyBorder="1" applyAlignment="1">
      <alignment horizontal="left" vertical="center" wrapText="1"/>
    </xf>
    <xf numFmtId="0" fontId="7" fillId="17" borderId="2" xfId="0" applyFont="1" applyFill="1" applyBorder="1" applyAlignment="1">
      <alignment horizontal="center" vertical="center" wrapText="1"/>
    </xf>
    <xf numFmtId="0" fontId="7" fillId="15" borderId="2" xfId="0" applyFont="1" applyFill="1" applyBorder="1" applyAlignment="1">
      <alignment horizontal="center" vertical="center" wrapText="1"/>
    </xf>
    <xf numFmtId="0" fontId="11" fillId="15" borderId="35" xfId="0" applyFont="1" applyFill="1" applyBorder="1" applyAlignment="1">
      <alignment horizontal="right" vertical="center"/>
    </xf>
    <xf numFmtId="0" fontId="11" fillId="15" borderId="36" xfId="0" applyFont="1" applyFill="1" applyBorder="1" applyAlignment="1">
      <alignment horizontal="right" vertical="center"/>
    </xf>
    <xf numFmtId="164" fontId="11" fillId="15" borderId="7" xfId="1" applyFont="1" applyFill="1" applyBorder="1" applyAlignment="1">
      <alignment horizontal="right" vertical="center"/>
    </xf>
    <xf numFmtId="0" fontId="11" fillId="15" borderId="0" xfId="0" applyFont="1" applyFill="1" applyAlignment="1">
      <alignment horizontal="right" vertical="center"/>
    </xf>
    <xf numFmtId="164" fontId="11" fillId="15" borderId="0" xfId="1" applyFont="1" applyFill="1" applyBorder="1" applyAlignment="1">
      <alignment horizontal="right" vertical="center"/>
    </xf>
    <xf numFmtId="0" fontId="11" fillId="14" borderId="0" xfId="0" applyFont="1" applyFill="1" applyAlignment="1">
      <alignment horizontal="right" vertical="center"/>
    </xf>
    <xf numFmtId="0" fontId="11" fillId="16" borderId="35" xfId="0" applyFont="1" applyFill="1" applyBorder="1" applyAlignment="1">
      <alignment horizontal="right" vertical="center"/>
    </xf>
    <xf numFmtId="0" fontId="11" fillId="17" borderId="35" xfId="0" applyFont="1" applyFill="1" applyBorder="1" applyAlignment="1">
      <alignment horizontal="right" vertical="center"/>
    </xf>
    <xf numFmtId="0" fontId="11" fillId="17" borderId="36" xfId="0" applyFont="1" applyFill="1" applyBorder="1" applyAlignment="1">
      <alignment horizontal="right" vertical="center"/>
    </xf>
    <xf numFmtId="164" fontId="11" fillId="17" borderId="7" xfId="1" applyFont="1" applyFill="1" applyBorder="1" applyAlignment="1">
      <alignment horizontal="right" vertical="center"/>
    </xf>
    <xf numFmtId="164" fontId="11" fillId="17" borderId="6" xfId="1" applyFont="1" applyFill="1" applyBorder="1" applyAlignment="1">
      <alignment horizontal="right" vertical="center"/>
    </xf>
    <xf numFmtId="0" fontId="11" fillId="17" borderId="8" xfId="0" applyFont="1" applyFill="1" applyBorder="1" applyAlignment="1">
      <alignment horizontal="right" vertical="center"/>
    </xf>
    <xf numFmtId="164" fontId="11" fillId="17" borderId="0" xfId="1" applyFont="1" applyFill="1" applyBorder="1" applyAlignment="1">
      <alignment horizontal="right" vertical="center"/>
    </xf>
    <xf numFmtId="0" fontId="11" fillId="13" borderId="2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18" xfId="0" applyFont="1" applyBorder="1" applyAlignment="1">
      <alignment vertical="center"/>
    </xf>
    <xf numFmtId="0" fontId="11" fillId="15" borderId="15" xfId="0" applyFont="1" applyFill="1" applyBorder="1" applyAlignment="1">
      <alignment horizontal="center" vertical="center" wrapText="1"/>
    </xf>
    <xf numFmtId="164" fontId="0" fillId="0" borderId="19" xfId="0" applyNumberFormat="1" applyBorder="1" applyAlignment="1">
      <alignment wrapText="1"/>
    </xf>
    <xf numFmtId="0" fontId="11" fillId="15" borderId="1" xfId="0" applyFont="1" applyFill="1" applyBorder="1" applyAlignment="1">
      <alignment horizontal="center" vertical="center" wrapText="1"/>
    </xf>
    <xf numFmtId="1" fontId="0" fillId="0" borderId="1" xfId="0" applyNumberFormat="1" applyBorder="1"/>
    <xf numFmtId="0" fontId="7" fillId="18" borderId="2" xfId="0" applyFont="1" applyFill="1" applyBorder="1" applyAlignment="1">
      <alignment horizontal="center" vertical="center" wrapText="1"/>
    </xf>
    <xf numFmtId="0" fontId="7" fillId="18" borderId="1" xfId="0" applyFont="1" applyFill="1" applyBorder="1" applyAlignment="1">
      <alignment horizontal="center" vertical="center" wrapText="1"/>
    </xf>
    <xf numFmtId="164" fontId="14" fillId="15" borderId="1" xfId="1" applyFont="1" applyFill="1" applyBorder="1" applyAlignment="1">
      <alignment vertical="center" wrapText="1"/>
    </xf>
    <xf numFmtId="164" fontId="3" fillId="0" borderId="17" xfId="1" applyFont="1" applyFill="1" applyBorder="1" applyAlignment="1">
      <alignment vertical="center" wrapText="1"/>
    </xf>
    <xf numFmtId="0" fontId="12" fillId="8" borderId="0" xfId="0" applyFont="1" applyFill="1" applyAlignment="1">
      <alignment horizontal="center" vertical="center"/>
    </xf>
    <xf numFmtId="0" fontId="11" fillId="15" borderId="2" xfId="0" applyFont="1" applyFill="1" applyBorder="1" applyAlignment="1">
      <alignment horizontal="center" vertical="center" wrapText="1"/>
    </xf>
    <xf numFmtId="164" fontId="0" fillId="0" borderId="0" xfId="1" applyFont="1"/>
    <xf numFmtId="164" fontId="12" fillId="8" borderId="0" xfId="1" applyFont="1" applyFill="1" applyAlignment="1">
      <alignment horizontal="center" vertical="center"/>
    </xf>
    <xf numFmtId="164" fontId="11" fillId="15" borderId="0" xfId="1" applyFont="1" applyFill="1" applyBorder="1" applyAlignment="1">
      <alignment horizontal="center" vertical="center" wrapText="1"/>
    </xf>
    <xf numFmtId="164" fontId="0" fillId="0" borderId="1" xfId="1" applyFont="1" applyBorder="1"/>
    <xf numFmtId="164" fontId="0" fillId="0" borderId="1" xfId="1" applyFont="1" applyBorder="1" applyAlignment="1">
      <alignment wrapText="1"/>
    </xf>
    <xf numFmtId="0" fontId="7" fillId="19" borderId="2" xfId="0" applyFont="1" applyFill="1" applyBorder="1" applyAlignment="1">
      <alignment horizontal="center" vertical="center" wrapText="1"/>
    </xf>
    <xf numFmtId="0" fontId="7" fillId="19" borderId="1" xfId="0" applyFont="1" applyFill="1" applyBorder="1" applyAlignment="1">
      <alignment horizontal="center" vertical="center" wrapText="1"/>
    </xf>
    <xf numFmtId="0" fontId="11" fillId="22" borderId="0" xfId="0" applyFont="1" applyFill="1" applyAlignment="1">
      <alignment horizontal="right" vertical="center"/>
    </xf>
    <xf numFmtId="0" fontId="11" fillId="19" borderId="35" xfId="0" applyFont="1" applyFill="1" applyBorder="1" applyAlignment="1">
      <alignment horizontal="right" vertical="center"/>
    </xf>
    <xf numFmtId="0" fontId="11" fillId="19" borderId="36" xfId="0" applyFont="1" applyFill="1" applyBorder="1" applyAlignment="1">
      <alignment horizontal="right" vertical="center"/>
    </xf>
    <xf numFmtId="164" fontId="11" fillId="19" borderId="7" xfId="1" applyFont="1" applyFill="1" applyBorder="1" applyAlignment="1">
      <alignment horizontal="right" vertical="center"/>
    </xf>
    <xf numFmtId="0" fontId="11" fillId="19" borderId="0" xfId="0" applyFont="1" applyFill="1" applyAlignment="1">
      <alignment horizontal="right" vertical="center"/>
    </xf>
    <xf numFmtId="0" fontId="11" fillId="23" borderId="2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164" fontId="3" fillId="24" borderId="9" xfId="1" applyFont="1" applyFill="1" applyBorder="1" applyAlignment="1">
      <alignment vertical="center" wrapText="1"/>
    </xf>
    <xf numFmtId="164" fontId="3" fillId="20" borderId="9" xfId="1" applyFont="1" applyFill="1" applyBorder="1" applyAlignment="1">
      <alignment vertical="center" wrapText="1"/>
    </xf>
    <xf numFmtId="164" fontId="3" fillId="21" borderId="9" xfId="1" applyFont="1" applyFill="1" applyBorder="1" applyAlignment="1">
      <alignment vertical="center" wrapText="1"/>
    </xf>
    <xf numFmtId="0" fontId="11" fillId="15" borderId="0" xfId="0" applyFont="1" applyFill="1" applyAlignment="1">
      <alignment horizontal="center" vertical="center" wrapText="1"/>
    </xf>
    <xf numFmtId="0" fontId="16" fillId="15" borderId="0" xfId="0" applyFont="1" applyFill="1" applyAlignment="1">
      <alignment horizontal="center" vertical="center" wrapText="1"/>
    </xf>
    <xf numFmtId="164" fontId="0" fillId="0" borderId="1" xfId="1" applyFont="1" applyFill="1" applyBorder="1"/>
    <xf numFmtId="164" fontId="11" fillId="19" borderId="1" xfId="1" applyFont="1" applyFill="1" applyBorder="1" applyAlignment="1">
      <alignment horizontal="right" vertical="center"/>
    </xf>
    <xf numFmtId="0" fontId="15" fillId="25" borderId="1" xfId="0" applyFont="1" applyFill="1" applyBorder="1" applyAlignment="1">
      <alignment horizontal="center" vertical="center" wrapText="1"/>
    </xf>
    <xf numFmtId="10" fontId="0" fillId="0" borderId="18" xfId="2" applyNumberFormat="1" applyFont="1" applyFill="1" applyBorder="1"/>
    <xf numFmtId="0" fontId="7" fillId="21" borderId="0" xfId="0" applyFont="1" applyFill="1" applyAlignment="1">
      <alignment horizontal="center" vertical="center" wrapText="1"/>
    </xf>
    <xf numFmtId="0" fontId="9" fillId="19" borderId="0" xfId="0" applyFont="1" applyFill="1" applyAlignment="1">
      <alignment horizontal="center" vertical="center"/>
    </xf>
    <xf numFmtId="0" fontId="9" fillId="18" borderId="0" xfId="0" applyFont="1" applyFill="1" applyAlignment="1">
      <alignment horizontal="center" vertical="center"/>
    </xf>
    <xf numFmtId="0" fontId="7" fillId="13" borderId="17" xfId="0" applyFont="1" applyFill="1" applyBorder="1" applyAlignment="1">
      <alignment horizontal="center" vertical="center" wrapText="1"/>
    </xf>
    <xf numFmtId="0" fontId="7" fillId="13" borderId="20" xfId="0" applyFont="1" applyFill="1" applyBorder="1" applyAlignment="1">
      <alignment horizontal="center" vertical="center" wrapText="1"/>
    </xf>
    <xf numFmtId="0" fontId="7" fillId="13" borderId="5" xfId="0" applyFont="1" applyFill="1" applyBorder="1" applyAlignment="1">
      <alignment horizontal="center" vertical="center" wrapText="1"/>
    </xf>
    <xf numFmtId="0" fontId="7" fillId="13" borderId="38" xfId="0" applyFont="1" applyFill="1" applyBorder="1" applyAlignment="1">
      <alignment horizontal="center" vertical="center" wrapText="1"/>
    </xf>
    <xf numFmtId="0" fontId="7" fillId="13" borderId="39" xfId="0" applyFont="1" applyFill="1" applyBorder="1" applyAlignment="1">
      <alignment horizontal="center" vertical="center" wrapText="1"/>
    </xf>
    <xf numFmtId="0" fontId="7" fillId="13" borderId="21" xfId="0" applyFont="1" applyFill="1" applyBorder="1" applyAlignment="1">
      <alignment horizontal="center" vertical="center" wrapText="1"/>
    </xf>
    <xf numFmtId="0" fontId="9" fillId="8" borderId="0" xfId="0" applyFont="1" applyFill="1" applyAlignment="1">
      <alignment horizontal="center" vertical="center"/>
    </xf>
    <xf numFmtId="0" fontId="9" fillId="13" borderId="0" xfId="0" applyFont="1" applyFill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164" fontId="3" fillId="0" borderId="23" xfId="1" applyFont="1" applyBorder="1" applyAlignment="1">
      <alignment horizontal="center" vertical="center" wrapText="1"/>
    </xf>
    <xf numFmtId="164" fontId="3" fillId="0" borderId="24" xfId="1" applyFont="1" applyBorder="1" applyAlignment="1">
      <alignment horizontal="center" vertical="center" wrapText="1"/>
    </xf>
    <xf numFmtId="167" fontId="3" fillId="6" borderId="25" xfId="0" applyNumberFormat="1" applyFont="1" applyFill="1" applyBorder="1" applyAlignment="1">
      <alignment horizontal="right" vertical="center" wrapText="1"/>
    </xf>
    <xf numFmtId="167" fontId="3" fillId="6" borderId="26" xfId="0" applyNumberFormat="1" applyFont="1" applyFill="1" applyBorder="1" applyAlignment="1">
      <alignment horizontal="right" vertical="center" wrapText="1"/>
    </xf>
    <xf numFmtId="164" fontId="3" fillId="0" borderId="33" xfId="1" applyFont="1" applyBorder="1" applyAlignment="1">
      <alignment horizontal="center" wrapText="1"/>
    </xf>
    <xf numFmtId="164" fontId="3" fillId="0" borderId="34" xfId="1" applyFont="1" applyBorder="1" applyAlignment="1">
      <alignment horizont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7" fillId="8" borderId="17" xfId="0" applyFont="1" applyFill="1" applyBorder="1" applyAlignment="1">
      <alignment horizontal="center" vertical="center" wrapText="1"/>
    </xf>
    <xf numFmtId="0" fontId="7" fillId="8" borderId="20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 wrapText="1"/>
    </xf>
    <xf numFmtId="0" fontId="7" fillId="8" borderId="38" xfId="0" applyFont="1" applyFill="1" applyBorder="1" applyAlignment="1">
      <alignment horizontal="center" vertical="center" wrapText="1"/>
    </xf>
    <xf numFmtId="0" fontId="7" fillId="8" borderId="39" xfId="0" applyFont="1" applyFill="1" applyBorder="1" applyAlignment="1">
      <alignment horizontal="center" vertical="center" wrapText="1"/>
    </xf>
    <xf numFmtId="0" fontId="7" fillId="8" borderId="21" xfId="0" applyFont="1" applyFill="1" applyBorder="1" applyAlignment="1">
      <alignment horizontal="center" vertical="center" wrapText="1"/>
    </xf>
    <xf numFmtId="0" fontId="12" fillId="8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right" vertical="center"/>
    </xf>
    <xf numFmtId="0" fontId="17" fillId="8" borderId="0" xfId="0" applyFont="1" applyFill="1" applyAlignment="1">
      <alignment horizontal="center" vertical="center"/>
    </xf>
  </cellXfs>
  <cellStyles count="3">
    <cellStyle name="Monétaire" xfId="1" builtinId="4"/>
    <cellStyle name="Normal" xfId="0" builtinId="0"/>
    <cellStyle name="Pourcentage" xfId="2" builtinId="5"/>
  </cellStyles>
  <dxfs count="11">
    <dxf>
      <numFmt numFmtId="164" formatCode="_-* #,##0.00\ &quot;€&quot;_-;\-* #,##0.00\ &quot;€&quot;_-;_-* &quot;-&quot;??\ &quot;€&quot;_-;_-@_-"/>
      <alignment textRotation="0" wrapText="1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numFmt numFmtId="164" formatCode="_-* #,##0.00\ &quot;€&quot;_-;\-* #,##0.00\ &quot;€&quot;_-;_-* &quot;-&quot;??\ &quot;€&quot;_-;_-@_-"/>
      <alignment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164" formatCode="_-* #,##0.00\ &quot;€&quot;_-;\-* #,##0.00\ &quot;€&quot;_-;_-* &quot;-&quot;??\ &quot;€&quot;_-;_-@_-"/>
      <alignment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164" formatCode="_-* #,##0.00\ &quot;€&quot;_-;\-* #,##0.00\ &quot;€&quot;_-;_-* &quot;-&quot;??\ &quot;€&quot;_-;_-@_-"/>
      <alignment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164" formatCode="_-* #,##0.00\ &quot;€&quot;_-;\-* #,##0.00\ &quot;€&quot;_-;_-* &quot;-&quot;??\ &quot;€&quot;_-;_-@_-"/>
      <alignment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19" formatCode="dd/mm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theme="1"/>
        </right>
        <top style="thin">
          <color theme="1"/>
        </top>
        <bottom style="thin">
          <color theme="1"/>
        </bottom>
      </border>
    </dxf>
    <dxf>
      <alignment textRotation="0" wrapText="1" indent="0" justifyLastLine="0" shrinkToFit="0" readingOrder="0"/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Bahnschrift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</dxfs>
  <tableStyles count="0" defaultTableStyle="TableStyleMedium2" defaultPivotStyle="PivotStyleLight16"/>
  <colors>
    <mruColors>
      <color rgb="FF920000"/>
      <color rgb="FFAC0000"/>
      <color rgb="FFFFEFEF"/>
      <color rgb="FFFFD9D9"/>
      <color rgb="FFEE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erspectives-foncieres.com/" TargetMode="External"/><Relationship Id="rId2" Type="http://schemas.openxmlformats.org/officeDocument/2006/relationships/hyperlink" Target="#'Amort Troika'!A1"/><Relationship Id="rId1" Type="http://schemas.openxmlformats.org/officeDocument/2006/relationships/hyperlink" Target="#'Amort Beneduc'!A1"/><Relationship Id="rId6" Type="http://schemas.openxmlformats.org/officeDocument/2006/relationships/hyperlink" Target="#'Residence Principale'!A1"/><Relationship Id="rId5" Type="http://schemas.openxmlformats.org/officeDocument/2006/relationships/hyperlink" Target="#'Amort SCI La vista'!A1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Amort T.DECANIS'!A1"/><Relationship Id="rId2" Type="http://schemas.openxmlformats.org/officeDocument/2006/relationships/hyperlink" Target="#'Amort Troika'!A1"/><Relationship Id="rId1" Type="http://schemas.openxmlformats.org/officeDocument/2006/relationships/hyperlink" Target="#'Vision patrimoine'!A1"/><Relationship Id="rId4" Type="http://schemas.openxmlformats.org/officeDocument/2006/relationships/hyperlink" Target="#'Amort SCIISLAVISTA'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Amort Troika'!A1"/><Relationship Id="rId2" Type="http://schemas.openxmlformats.org/officeDocument/2006/relationships/hyperlink" Target="#'Amort Beneduc'!A1"/><Relationship Id="rId1" Type="http://schemas.openxmlformats.org/officeDocument/2006/relationships/hyperlink" Target="#'Vision patrimoine'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'Amort Troika'!A1"/><Relationship Id="rId2" Type="http://schemas.openxmlformats.org/officeDocument/2006/relationships/hyperlink" Target="#'Amort Beneduc'!A1"/><Relationship Id="rId1" Type="http://schemas.openxmlformats.org/officeDocument/2006/relationships/hyperlink" Target="#'Vision patrimoine'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'Amort T.DECANIS'!A1"/><Relationship Id="rId2" Type="http://schemas.openxmlformats.org/officeDocument/2006/relationships/hyperlink" Target="#'Amort Beneduc'!A1"/><Relationship Id="rId1" Type="http://schemas.openxmlformats.org/officeDocument/2006/relationships/hyperlink" Target="#'Vision patrimoine'!A1"/><Relationship Id="rId4" Type="http://schemas.openxmlformats.org/officeDocument/2006/relationships/hyperlink" Target="#'Amort SCIISLAVISTA'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#'Amort SCI La vista'!A1"/><Relationship Id="rId1" Type="http://schemas.openxmlformats.org/officeDocument/2006/relationships/hyperlink" Target="#'Vision patrimoine'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#'Amort SCI La vista'!A1"/><Relationship Id="rId1" Type="http://schemas.openxmlformats.org/officeDocument/2006/relationships/hyperlink" Target="#'Vision patrimoine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3</xdr:row>
      <xdr:rowOff>23813</xdr:rowOff>
    </xdr:from>
    <xdr:to>
      <xdr:col>3</xdr:col>
      <xdr:colOff>1262062</xdr:colOff>
      <xdr:row>4</xdr:row>
      <xdr:rowOff>392906</xdr:rowOff>
    </xdr:to>
    <xdr:sp macro="" textlink="">
      <xdr:nvSpPr>
        <xdr:cNvPr id="2" name="Rectangle : coins arrondi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2A620B-D287-4883-BFFD-B7588C425403}"/>
            </a:ext>
          </a:extLst>
        </xdr:cNvPr>
        <xdr:cNvSpPr/>
      </xdr:nvSpPr>
      <xdr:spPr>
        <a:xfrm>
          <a:off x="4964906" y="892969"/>
          <a:ext cx="1214437" cy="916781"/>
        </a:xfrm>
        <a:prstGeom prst="roundRect">
          <a:avLst/>
        </a:prstGeom>
        <a:solidFill>
          <a:schemeClr val="accent5">
            <a:lumMod val="50000"/>
          </a:schemeClr>
        </a:solidFill>
        <a:ln>
          <a:solidFill>
            <a:schemeClr val="accent5">
              <a:lumMod val="50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050" b="1" cap="none" spc="5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Amortissement</a:t>
          </a:r>
          <a:r>
            <a:rPr lang="fr-FR" sz="1050" b="1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 BENEDUC</a:t>
          </a:r>
        </a:p>
      </xdr:txBody>
    </xdr:sp>
    <xdr:clientData/>
  </xdr:twoCellAnchor>
  <xdr:twoCellAnchor>
    <xdr:from>
      <xdr:col>3</xdr:col>
      <xdr:colOff>45245</xdr:colOff>
      <xdr:row>17</xdr:row>
      <xdr:rowOff>35719</xdr:rowOff>
    </xdr:from>
    <xdr:to>
      <xdr:col>3</xdr:col>
      <xdr:colOff>1262062</xdr:colOff>
      <xdr:row>18</xdr:row>
      <xdr:rowOff>392906</xdr:rowOff>
    </xdr:to>
    <xdr:sp macro="" textlink="">
      <xdr:nvSpPr>
        <xdr:cNvPr id="3" name="Rectangle : coins arrondi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9887966-F94D-4083-8066-793EF9CEEE7C}"/>
            </a:ext>
          </a:extLst>
        </xdr:cNvPr>
        <xdr:cNvSpPr/>
      </xdr:nvSpPr>
      <xdr:spPr>
        <a:xfrm>
          <a:off x="4950620" y="5639594"/>
          <a:ext cx="1216817" cy="944562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50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050" b="1" cap="none" spc="50">
              <a:ln w="0"/>
              <a:solidFill>
                <a:schemeClr val="bg2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Amortissement</a:t>
          </a:r>
          <a:r>
            <a:rPr lang="fr-FR" sz="1050" b="1" cap="none" spc="50" baseline="0">
              <a:ln w="0"/>
              <a:solidFill>
                <a:schemeClr val="bg2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TROIKA</a:t>
          </a:r>
        </a:p>
      </xdr:txBody>
    </xdr:sp>
    <xdr:clientData/>
  </xdr:twoCellAnchor>
  <xdr:twoCellAnchor editAs="oneCell">
    <xdr:from>
      <xdr:col>12</xdr:col>
      <xdr:colOff>845340</xdr:colOff>
      <xdr:row>1</xdr:row>
      <xdr:rowOff>23813</xdr:rowOff>
    </xdr:from>
    <xdr:to>
      <xdr:col>12</xdr:col>
      <xdr:colOff>1809745</xdr:colOff>
      <xdr:row>1</xdr:row>
      <xdr:rowOff>595313</xdr:rowOff>
    </xdr:to>
    <xdr:pic>
      <xdr:nvPicPr>
        <xdr:cNvPr id="5" name="Imag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8DDF1FB-F2F2-40B0-B418-D808CB74C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609340" y="226219"/>
          <a:ext cx="964405" cy="571500"/>
        </a:xfrm>
        <a:prstGeom prst="rect">
          <a:avLst/>
        </a:prstGeom>
      </xdr:spPr>
    </xdr:pic>
    <xdr:clientData/>
  </xdr:twoCellAnchor>
  <xdr:twoCellAnchor editAs="oneCell">
    <xdr:from>
      <xdr:col>12</xdr:col>
      <xdr:colOff>842959</xdr:colOff>
      <xdr:row>15</xdr:row>
      <xdr:rowOff>21431</xdr:rowOff>
    </xdr:from>
    <xdr:to>
      <xdr:col>12</xdr:col>
      <xdr:colOff>1807364</xdr:colOff>
      <xdr:row>15</xdr:row>
      <xdr:rowOff>592931</xdr:rowOff>
    </xdr:to>
    <xdr:pic>
      <xdr:nvPicPr>
        <xdr:cNvPr id="6" name="Imag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F022F5C-E84F-45A9-80D4-D01691601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606959" y="4879181"/>
          <a:ext cx="964405" cy="571500"/>
        </a:xfrm>
        <a:prstGeom prst="rect">
          <a:avLst/>
        </a:prstGeom>
      </xdr:spPr>
    </xdr:pic>
    <xdr:clientData/>
  </xdr:twoCellAnchor>
  <xdr:oneCellAnchor>
    <xdr:from>
      <xdr:col>12</xdr:col>
      <xdr:colOff>845340</xdr:colOff>
      <xdr:row>27</xdr:row>
      <xdr:rowOff>23813</xdr:rowOff>
    </xdr:from>
    <xdr:ext cx="964405" cy="571500"/>
    <xdr:pic>
      <xdr:nvPicPr>
        <xdr:cNvPr id="9" name="Image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76701EC-C266-B34D-98B5-496E2FBA0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514090" y="230188"/>
          <a:ext cx="964405" cy="571500"/>
        </a:xfrm>
        <a:prstGeom prst="rect">
          <a:avLst/>
        </a:prstGeom>
      </xdr:spPr>
    </xdr:pic>
    <xdr:clientData/>
  </xdr:oneCellAnchor>
  <xdr:twoCellAnchor>
    <xdr:from>
      <xdr:col>3</xdr:col>
      <xdr:colOff>45245</xdr:colOff>
      <xdr:row>29</xdr:row>
      <xdr:rowOff>35719</xdr:rowOff>
    </xdr:from>
    <xdr:to>
      <xdr:col>3</xdr:col>
      <xdr:colOff>1262062</xdr:colOff>
      <xdr:row>30</xdr:row>
      <xdr:rowOff>392906</xdr:rowOff>
    </xdr:to>
    <xdr:sp macro="" textlink="">
      <xdr:nvSpPr>
        <xdr:cNvPr id="10" name="Rectangle : coins arrondis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AFD459E-0321-2649-99D5-151629E397B5}"/>
            </a:ext>
          </a:extLst>
        </xdr:cNvPr>
        <xdr:cNvSpPr/>
      </xdr:nvSpPr>
      <xdr:spPr>
        <a:xfrm>
          <a:off x="4950620" y="5639594"/>
          <a:ext cx="1216817" cy="944562"/>
        </a:xfrm>
        <a:prstGeom prst="roundRect">
          <a:avLst/>
        </a:prstGeom>
        <a:solidFill>
          <a:schemeClr val="accent5">
            <a:lumMod val="50000"/>
          </a:schemeClr>
        </a:solidFill>
        <a:ln>
          <a:solidFill>
            <a:schemeClr val="accent5">
              <a:lumMod val="50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050" b="1" cap="none" spc="50">
              <a:ln w="0"/>
              <a:solidFill>
                <a:schemeClr val="bg2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Amortissement</a:t>
          </a:r>
          <a:r>
            <a:rPr lang="fr-FR" sz="1050" b="1" cap="none" spc="50" baseline="0">
              <a:ln w="0"/>
              <a:solidFill>
                <a:schemeClr val="bg2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SCI LA VISTA</a:t>
          </a:r>
        </a:p>
      </xdr:txBody>
    </xdr:sp>
    <xdr:clientData/>
  </xdr:twoCellAnchor>
  <xdr:oneCellAnchor>
    <xdr:from>
      <xdr:col>12</xdr:col>
      <xdr:colOff>842959</xdr:colOff>
      <xdr:row>27</xdr:row>
      <xdr:rowOff>21431</xdr:rowOff>
    </xdr:from>
    <xdr:ext cx="964405" cy="571500"/>
    <xdr:pic>
      <xdr:nvPicPr>
        <xdr:cNvPr id="11" name="Image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BE29D62-39CE-DD4A-B13C-A1E7B3EB6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511709" y="4958556"/>
          <a:ext cx="964405" cy="571500"/>
        </a:xfrm>
        <a:prstGeom prst="rect">
          <a:avLst/>
        </a:prstGeom>
      </xdr:spPr>
    </xdr:pic>
    <xdr:clientData/>
  </xdr:oneCellAnchor>
  <xdr:oneCellAnchor>
    <xdr:from>
      <xdr:col>12</xdr:col>
      <xdr:colOff>881063</xdr:colOff>
      <xdr:row>37</xdr:row>
      <xdr:rowOff>47186</xdr:rowOff>
    </xdr:from>
    <xdr:ext cx="904870" cy="536220"/>
    <xdr:pic>
      <xdr:nvPicPr>
        <xdr:cNvPr id="12" name="Image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F342C38-89D3-4960-8150-D96B8D90D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633157" y="11846280"/>
          <a:ext cx="904870" cy="536220"/>
        </a:xfrm>
        <a:prstGeom prst="rect">
          <a:avLst/>
        </a:prstGeom>
      </xdr:spPr>
    </xdr:pic>
    <xdr:clientData/>
  </xdr:oneCellAnchor>
  <xdr:twoCellAnchor>
    <xdr:from>
      <xdr:col>3</xdr:col>
      <xdr:colOff>45245</xdr:colOff>
      <xdr:row>39</xdr:row>
      <xdr:rowOff>35719</xdr:rowOff>
    </xdr:from>
    <xdr:to>
      <xdr:col>3</xdr:col>
      <xdr:colOff>1262062</xdr:colOff>
      <xdr:row>40</xdr:row>
      <xdr:rowOff>392906</xdr:rowOff>
    </xdr:to>
    <xdr:sp macro="" textlink="">
      <xdr:nvSpPr>
        <xdr:cNvPr id="16" name="Rectangle : coins arrondis 1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1118EAD-704F-4C09-BD99-CF9BA1609751}"/>
            </a:ext>
          </a:extLst>
        </xdr:cNvPr>
        <xdr:cNvSpPr/>
      </xdr:nvSpPr>
      <xdr:spPr>
        <a:xfrm>
          <a:off x="4962526" y="9191625"/>
          <a:ext cx="1216817" cy="952500"/>
        </a:xfrm>
        <a:prstGeom prst="roundRect">
          <a:avLst/>
        </a:prstGeom>
        <a:solidFill>
          <a:srgbClr val="920000"/>
        </a:solidFill>
        <a:ln>
          <a:solidFill>
            <a:schemeClr val="accent5">
              <a:lumMod val="50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900" b="1" cap="none" spc="50" baseline="0">
              <a:ln w="0"/>
              <a:solidFill>
                <a:schemeClr val="bg2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Ammortissement Residence principale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76201</xdr:colOff>
      <xdr:row>1</xdr:row>
      <xdr:rowOff>57150</xdr:rowOff>
    </xdr:from>
    <xdr:to>
      <xdr:col>3</xdr:col>
      <xdr:colOff>19051</xdr:colOff>
      <xdr:row>1</xdr:row>
      <xdr:rowOff>704850</xdr:rowOff>
    </xdr:to>
    <xdr:sp macro="" textlink="">
      <xdr:nvSpPr>
        <xdr:cNvPr id="3" name="Rectangle : coins arrondi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9E3ED0-D48D-40BD-B7A5-E30BD5A8FA97}"/>
            </a:ext>
          </a:extLst>
        </xdr:cNvPr>
        <xdr:cNvSpPr/>
      </xdr:nvSpPr>
      <xdr:spPr>
        <a:xfrm>
          <a:off x="219076" y="114300"/>
          <a:ext cx="1162050" cy="6477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050" b="1" cap="none" spc="50" baseline="0">
              <a:ln w="0"/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Vision patrimoine</a:t>
          </a:r>
        </a:p>
      </xdr:txBody>
    </xdr:sp>
    <xdr:clientData/>
  </xdr:twoCellAnchor>
  <xdr:twoCellAnchor>
    <xdr:from>
      <xdr:col>3</xdr:col>
      <xdr:colOff>104776</xdr:colOff>
      <xdr:row>1</xdr:row>
      <xdr:rowOff>66675</xdr:rowOff>
    </xdr:from>
    <xdr:to>
      <xdr:col>4</xdr:col>
      <xdr:colOff>85725</xdr:colOff>
      <xdr:row>1</xdr:row>
      <xdr:rowOff>695325</xdr:rowOff>
    </xdr:to>
    <xdr:sp macro="" textlink="">
      <xdr:nvSpPr>
        <xdr:cNvPr id="4" name="Rectangle : coins arrondi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D71A2C0-4913-4193-9824-3ED846DD6E5C}"/>
            </a:ext>
          </a:extLst>
        </xdr:cNvPr>
        <xdr:cNvSpPr/>
      </xdr:nvSpPr>
      <xdr:spPr>
        <a:xfrm>
          <a:off x="1466851" y="123825"/>
          <a:ext cx="1200149" cy="628650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75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050" b="1" cap="none" spc="50" baseline="0">
              <a:ln w="0"/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Amortissement TROIKA</a:t>
          </a:r>
        </a:p>
      </xdr:txBody>
    </xdr:sp>
    <xdr:clientData/>
  </xdr:twoCellAnchor>
  <xdr:twoCellAnchor>
    <xdr:from>
      <xdr:col>4</xdr:col>
      <xdr:colOff>139700</xdr:colOff>
      <xdr:row>1</xdr:row>
      <xdr:rowOff>76200</xdr:rowOff>
    </xdr:from>
    <xdr:to>
      <xdr:col>4</xdr:col>
      <xdr:colOff>1365250</xdr:colOff>
      <xdr:row>1</xdr:row>
      <xdr:rowOff>704850</xdr:rowOff>
    </xdr:to>
    <xdr:sp macro="" textlink="">
      <xdr:nvSpPr>
        <xdr:cNvPr id="2" name="Rectangle : coins arrondis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80179F8-9BFE-E245-BA15-811F049F9C80}"/>
            </a:ext>
          </a:extLst>
        </xdr:cNvPr>
        <xdr:cNvSpPr/>
      </xdr:nvSpPr>
      <xdr:spPr>
        <a:xfrm>
          <a:off x="2717800" y="127000"/>
          <a:ext cx="1225550" cy="628650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50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050" b="1" cap="none" spc="50" baseline="0">
              <a:ln w="0"/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Amortissement </a:t>
          </a:r>
        </a:p>
        <a:p>
          <a:pPr algn="ctr"/>
          <a:r>
            <a:rPr lang="fr-FR" sz="1050" b="1" cap="none" spc="50" baseline="0">
              <a:ln w="0"/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DECANIS</a:t>
          </a:r>
        </a:p>
      </xdr:txBody>
    </xdr:sp>
    <xdr:clientData/>
  </xdr:twoCellAnchor>
  <xdr:twoCellAnchor>
    <xdr:from>
      <xdr:col>4</xdr:col>
      <xdr:colOff>1409700</xdr:colOff>
      <xdr:row>1</xdr:row>
      <xdr:rowOff>76200</xdr:rowOff>
    </xdr:from>
    <xdr:to>
      <xdr:col>4</xdr:col>
      <xdr:colOff>2635250</xdr:colOff>
      <xdr:row>1</xdr:row>
      <xdr:rowOff>704850</xdr:rowOff>
    </xdr:to>
    <xdr:sp macro="" textlink="">
      <xdr:nvSpPr>
        <xdr:cNvPr id="5" name="Rectangle : coins arrondi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A3AB128-73DC-174E-981F-882242DA940F}"/>
            </a:ext>
          </a:extLst>
        </xdr:cNvPr>
        <xdr:cNvSpPr/>
      </xdr:nvSpPr>
      <xdr:spPr>
        <a:xfrm>
          <a:off x="3987800" y="127000"/>
          <a:ext cx="1225550" cy="628650"/>
        </a:xfrm>
        <a:prstGeom prst="roundRect">
          <a:avLst/>
        </a:prstGeom>
        <a:solidFill>
          <a:schemeClr val="accent5">
            <a:lumMod val="50000"/>
          </a:schemeClr>
        </a:solidFill>
        <a:ln>
          <a:solidFill>
            <a:schemeClr val="accent5">
              <a:lumMod val="50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050" b="1" cap="none" spc="50" baseline="0">
              <a:ln w="0"/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Amortissement </a:t>
          </a:r>
        </a:p>
        <a:p>
          <a:pPr algn="ctr"/>
          <a:r>
            <a:rPr lang="fr-FR" sz="1050" b="1" cap="none" spc="50" baseline="0">
              <a:ln w="0"/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LA VISTA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</xdr:row>
      <xdr:rowOff>57150</xdr:rowOff>
    </xdr:from>
    <xdr:to>
      <xdr:col>1</xdr:col>
      <xdr:colOff>1238250</xdr:colOff>
      <xdr:row>1</xdr:row>
      <xdr:rowOff>704850</xdr:rowOff>
    </xdr:to>
    <xdr:sp macro="" textlink="">
      <xdr:nvSpPr>
        <xdr:cNvPr id="2" name="Rectangle : coins arrondi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82D58-E64F-1441-86BA-6A81C19E05C4}"/>
            </a:ext>
          </a:extLst>
        </xdr:cNvPr>
        <xdr:cNvSpPr/>
      </xdr:nvSpPr>
      <xdr:spPr>
        <a:xfrm>
          <a:off x="165100" y="95250"/>
          <a:ext cx="1162050" cy="6477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050" b="1" cap="none" spc="50" baseline="0">
              <a:ln w="0"/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Vision patrimoine</a:t>
          </a:r>
        </a:p>
      </xdr:txBody>
    </xdr:sp>
    <xdr:clientData/>
  </xdr:twoCellAnchor>
  <xdr:twoCellAnchor>
    <xdr:from>
      <xdr:col>1</xdr:col>
      <xdr:colOff>1352551</xdr:colOff>
      <xdr:row>1</xdr:row>
      <xdr:rowOff>66675</xdr:rowOff>
    </xdr:from>
    <xdr:to>
      <xdr:col>1</xdr:col>
      <xdr:colOff>2578101</xdr:colOff>
      <xdr:row>1</xdr:row>
      <xdr:rowOff>695325</xdr:rowOff>
    </xdr:to>
    <xdr:sp macro="" textlink="">
      <xdr:nvSpPr>
        <xdr:cNvPr id="3" name="Rectangle : coins arrondi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B35C7EB-2FF5-E546-A3D1-26E1F9150A11}"/>
            </a:ext>
          </a:extLst>
        </xdr:cNvPr>
        <xdr:cNvSpPr/>
      </xdr:nvSpPr>
      <xdr:spPr>
        <a:xfrm>
          <a:off x="1441451" y="104775"/>
          <a:ext cx="1225550" cy="628650"/>
        </a:xfrm>
        <a:prstGeom prst="roundRect">
          <a:avLst/>
        </a:prstGeom>
        <a:solidFill>
          <a:schemeClr val="accent5">
            <a:lumMod val="50000"/>
          </a:schemeClr>
        </a:solidFill>
        <a:ln>
          <a:solidFill>
            <a:schemeClr val="accent5">
              <a:lumMod val="50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050" b="1" cap="none" spc="50" baseline="0">
              <a:ln w="0"/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Amortissement Beneduc</a:t>
          </a:r>
        </a:p>
      </xdr:txBody>
    </xdr:sp>
    <xdr:clientData/>
  </xdr:twoCellAnchor>
  <xdr:twoCellAnchor>
    <xdr:from>
      <xdr:col>1</xdr:col>
      <xdr:colOff>2647951</xdr:colOff>
      <xdr:row>1</xdr:row>
      <xdr:rowOff>66675</xdr:rowOff>
    </xdr:from>
    <xdr:to>
      <xdr:col>1</xdr:col>
      <xdr:colOff>3873501</xdr:colOff>
      <xdr:row>1</xdr:row>
      <xdr:rowOff>695325</xdr:rowOff>
    </xdr:to>
    <xdr:sp macro="" textlink="">
      <xdr:nvSpPr>
        <xdr:cNvPr id="4" name="Rectangle : coins arrondi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DCA94B7-653D-6B49-8B9C-2ACF77A21AA5}"/>
            </a:ext>
          </a:extLst>
        </xdr:cNvPr>
        <xdr:cNvSpPr/>
      </xdr:nvSpPr>
      <xdr:spPr>
        <a:xfrm>
          <a:off x="2736851" y="104775"/>
          <a:ext cx="1225550" cy="628650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50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050" b="1" cap="none" spc="50" baseline="0">
              <a:ln w="0"/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Amortissement </a:t>
          </a:r>
        </a:p>
        <a:p>
          <a:pPr algn="ctr"/>
          <a:r>
            <a:rPr lang="fr-FR" sz="1050" b="1" cap="none" spc="50" baseline="0">
              <a:ln w="0"/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TROIKA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</xdr:row>
      <xdr:rowOff>57150</xdr:rowOff>
    </xdr:from>
    <xdr:to>
      <xdr:col>1</xdr:col>
      <xdr:colOff>1238250</xdr:colOff>
      <xdr:row>1</xdr:row>
      <xdr:rowOff>704850</xdr:rowOff>
    </xdr:to>
    <xdr:sp macro="" textlink="">
      <xdr:nvSpPr>
        <xdr:cNvPr id="2" name="Rectangle : coins arrondi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615960-17A6-724B-841F-080F3A62FF63}"/>
            </a:ext>
          </a:extLst>
        </xdr:cNvPr>
        <xdr:cNvSpPr/>
      </xdr:nvSpPr>
      <xdr:spPr>
        <a:xfrm>
          <a:off x="165100" y="95250"/>
          <a:ext cx="1162050" cy="6477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050" b="1" cap="none" spc="50" baseline="0">
              <a:ln w="0"/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Vision patrimoine</a:t>
          </a:r>
        </a:p>
      </xdr:txBody>
    </xdr:sp>
    <xdr:clientData/>
  </xdr:twoCellAnchor>
  <xdr:twoCellAnchor>
    <xdr:from>
      <xdr:col>1</xdr:col>
      <xdr:colOff>1352551</xdr:colOff>
      <xdr:row>1</xdr:row>
      <xdr:rowOff>66675</xdr:rowOff>
    </xdr:from>
    <xdr:to>
      <xdr:col>1</xdr:col>
      <xdr:colOff>2578101</xdr:colOff>
      <xdr:row>1</xdr:row>
      <xdr:rowOff>695325</xdr:rowOff>
    </xdr:to>
    <xdr:sp macro="" textlink="">
      <xdr:nvSpPr>
        <xdr:cNvPr id="3" name="Rectangle : coins arrondi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D30E5DF-BAE1-5848-8E67-99A223AA5AC6}"/>
            </a:ext>
          </a:extLst>
        </xdr:cNvPr>
        <xdr:cNvSpPr/>
      </xdr:nvSpPr>
      <xdr:spPr>
        <a:xfrm>
          <a:off x="1441451" y="104775"/>
          <a:ext cx="1225550" cy="628650"/>
        </a:xfrm>
        <a:prstGeom prst="roundRect">
          <a:avLst/>
        </a:prstGeom>
        <a:solidFill>
          <a:schemeClr val="accent5">
            <a:lumMod val="50000"/>
          </a:schemeClr>
        </a:solidFill>
        <a:ln>
          <a:solidFill>
            <a:schemeClr val="accent5">
              <a:lumMod val="50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050" b="1" cap="none" spc="50" baseline="0">
              <a:ln w="0"/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Amortissement Beneduc</a:t>
          </a:r>
        </a:p>
      </xdr:txBody>
    </xdr:sp>
    <xdr:clientData/>
  </xdr:twoCellAnchor>
  <xdr:twoCellAnchor>
    <xdr:from>
      <xdr:col>1</xdr:col>
      <xdr:colOff>2647951</xdr:colOff>
      <xdr:row>1</xdr:row>
      <xdr:rowOff>66675</xdr:rowOff>
    </xdr:from>
    <xdr:to>
      <xdr:col>1</xdr:col>
      <xdr:colOff>3873501</xdr:colOff>
      <xdr:row>1</xdr:row>
      <xdr:rowOff>695325</xdr:rowOff>
    </xdr:to>
    <xdr:sp macro="" textlink="">
      <xdr:nvSpPr>
        <xdr:cNvPr id="4" name="Rectangle : coins arrondi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43C9868-7DDF-C740-A4B8-517D63BA563B}"/>
            </a:ext>
          </a:extLst>
        </xdr:cNvPr>
        <xdr:cNvSpPr/>
      </xdr:nvSpPr>
      <xdr:spPr>
        <a:xfrm>
          <a:off x="2736851" y="104775"/>
          <a:ext cx="1225550" cy="628650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50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050" b="1" cap="none" spc="50" baseline="0">
              <a:ln w="0"/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Amortissement </a:t>
          </a:r>
        </a:p>
        <a:p>
          <a:pPr algn="ctr"/>
          <a:r>
            <a:rPr lang="fr-FR" sz="1050" b="1" cap="none" spc="50" baseline="0">
              <a:ln w="0"/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TROIKA</a:t>
          </a:r>
        </a:p>
      </xdr:txBody>
    </xdr:sp>
    <xdr:clientData/>
  </xdr:twoCellAnchor>
  <xdr:twoCellAnchor>
    <xdr:from>
      <xdr:col>1</xdr:col>
      <xdr:colOff>3946526</xdr:colOff>
      <xdr:row>1</xdr:row>
      <xdr:rowOff>66675</xdr:rowOff>
    </xdr:from>
    <xdr:to>
      <xdr:col>1</xdr:col>
      <xdr:colOff>5172076</xdr:colOff>
      <xdr:row>1</xdr:row>
      <xdr:rowOff>695325</xdr:rowOff>
    </xdr:to>
    <xdr:sp macro="" textlink="">
      <xdr:nvSpPr>
        <xdr:cNvPr id="5" name="Rectangle : coins arrondi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43AA385-07E7-427A-898F-EE0112DD1D51}"/>
            </a:ext>
          </a:extLst>
        </xdr:cNvPr>
        <xdr:cNvSpPr/>
      </xdr:nvSpPr>
      <xdr:spPr>
        <a:xfrm>
          <a:off x="4032251" y="104775"/>
          <a:ext cx="1225550" cy="628650"/>
        </a:xfrm>
        <a:prstGeom prst="roundRect">
          <a:avLst/>
        </a:prstGeom>
        <a:solidFill>
          <a:schemeClr val="accent1">
            <a:lumMod val="50000"/>
          </a:schemeClr>
        </a:solidFill>
        <a:ln>
          <a:solidFill>
            <a:schemeClr val="accent5">
              <a:lumMod val="50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050" b="1" cap="none" spc="50" baseline="0">
              <a:ln w="0"/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Amortissement </a:t>
          </a:r>
        </a:p>
        <a:p>
          <a:pPr algn="ctr"/>
          <a:r>
            <a:rPr lang="fr-FR" sz="1050" b="1" cap="none" spc="50" baseline="0">
              <a:ln w="0"/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SCI La  Vista</a:t>
          </a:r>
        </a:p>
      </xdr:txBody>
    </xdr:sp>
    <xdr:clientData/>
  </xdr:twoCellAnchor>
  <xdr:twoCellAnchor>
    <xdr:from>
      <xdr:col>1</xdr:col>
      <xdr:colOff>5251451</xdr:colOff>
      <xdr:row>1</xdr:row>
      <xdr:rowOff>76200</xdr:rowOff>
    </xdr:from>
    <xdr:to>
      <xdr:col>2</xdr:col>
      <xdr:colOff>1038226</xdr:colOff>
      <xdr:row>1</xdr:row>
      <xdr:rowOff>704850</xdr:rowOff>
    </xdr:to>
    <xdr:sp macro="" textlink="">
      <xdr:nvSpPr>
        <xdr:cNvPr id="6" name="Rectangle : coins arrondi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80505C4-4A2F-404A-A839-4FA08BE5F171}"/>
            </a:ext>
          </a:extLst>
        </xdr:cNvPr>
        <xdr:cNvSpPr/>
      </xdr:nvSpPr>
      <xdr:spPr>
        <a:xfrm>
          <a:off x="5337176" y="114300"/>
          <a:ext cx="1225550" cy="628650"/>
        </a:xfrm>
        <a:prstGeom prst="roundRect">
          <a:avLst/>
        </a:prstGeom>
        <a:solidFill>
          <a:srgbClr val="920000"/>
        </a:solidFill>
        <a:ln>
          <a:solidFill>
            <a:schemeClr val="accent5">
              <a:lumMod val="50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050" b="1" cap="none" spc="50" baseline="0">
              <a:ln w="0"/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Amortissement </a:t>
          </a:r>
        </a:p>
        <a:p>
          <a:pPr algn="ctr"/>
          <a:r>
            <a:rPr lang="fr-FR" sz="1050" b="1" cap="none" spc="50" baseline="0">
              <a:ln w="0"/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R.principale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</xdr:row>
      <xdr:rowOff>57150</xdr:rowOff>
    </xdr:from>
    <xdr:to>
      <xdr:col>1</xdr:col>
      <xdr:colOff>1238250</xdr:colOff>
      <xdr:row>1</xdr:row>
      <xdr:rowOff>704850</xdr:rowOff>
    </xdr:to>
    <xdr:sp macro="" textlink="">
      <xdr:nvSpPr>
        <xdr:cNvPr id="2" name="Rectangle : coins arrondi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A69F29-428B-41A0-9F25-E44FCA8EE592}"/>
            </a:ext>
          </a:extLst>
        </xdr:cNvPr>
        <xdr:cNvSpPr/>
      </xdr:nvSpPr>
      <xdr:spPr>
        <a:xfrm>
          <a:off x="161925" y="95250"/>
          <a:ext cx="1162050" cy="6477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050" b="1" cap="none" spc="50" baseline="0">
              <a:ln w="0"/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Vision patrimoine</a:t>
          </a:r>
        </a:p>
      </xdr:txBody>
    </xdr:sp>
    <xdr:clientData/>
  </xdr:twoCellAnchor>
  <xdr:twoCellAnchor>
    <xdr:from>
      <xdr:col>1</xdr:col>
      <xdr:colOff>1352550</xdr:colOff>
      <xdr:row>1</xdr:row>
      <xdr:rowOff>66675</xdr:rowOff>
    </xdr:from>
    <xdr:to>
      <xdr:col>2</xdr:col>
      <xdr:colOff>1123949</xdr:colOff>
      <xdr:row>1</xdr:row>
      <xdr:rowOff>695325</xdr:rowOff>
    </xdr:to>
    <xdr:sp macro="" textlink="">
      <xdr:nvSpPr>
        <xdr:cNvPr id="3" name="Rectangle : coins arrondi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C449D91-0007-4770-9D71-63696773D2D6}"/>
            </a:ext>
          </a:extLst>
        </xdr:cNvPr>
        <xdr:cNvSpPr/>
      </xdr:nvSpPr>
      <xdr:spPr>
        <a:xfrm>
          <a:off x="1438275" y="104775"/>
          <a:ext cx="1200149" cy="628650"/>
        </a:xfrm>
        <a:prstGeom prst="roundRect">
          <a:avLst/>
        </a:prstGeom>
        <a:solidFill>
          <a:schemeClr val="accent5">
            <a:lumMod val="50000"/>
          </a:schemeClr>
        </a:solidFill>
        <a:ln>
          <a:solidFill>
            <a:schemeClr val="accent5">
              <a:lumMod val="50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050" b="1" cap="none" spc="50" baseline="0">
              <a:ln w="0"/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Amortissement Beneduc</a:t>
          </a:r>
        </a:p>
      </xdr:txBody>
    </xdr:sp>
    <xdr:clientData/>
  </xdr:twoCellAnchor>
  <xdr:twoCellAnchor>
    <xdr:from>
      <xdr:col>2</xdr:col>
      <xdr:colOff>1193800</xdr:colOff>
      <xdr:row>1</xdr:row>
      <xdr:rowOff>63500</xdr:rowOff>
    </xdr:from>
    <xdr:to>
      <xdr:col>2</xdr:col>
      <xdr:colOff>2419350</xdr:colOff>
      <xdr:row>1</xdr:row>
      <xdr:rowOff>692150</xdr:rowOff>
    </xdr:to>
    <xdr:sp macro="" textlink="">
      <xdr:nvSpPr>
        <xdr:cNvPr id="4" name="Rectangle : coins arrondi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0325A96-78F2-B84A-ABBD-7D9A13143CC7}"/>
            </a:ext>
          </a:extLst>
        </xdr:cNvPr>
        <xdr:cNvSpPr/>
      </xdr:nvSpPr>
      <xdr:spPr>
        <a:xfrm>
          <a:off x="2705100" y="101600"/>
          <a:ext cx="1225550" cy="628650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50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050" b="1" cap="none" spc="50" baseline="0">
              <a:ln w="0"/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Amortissement </a:t>
          </a:r>
        </a:p>
        <a:p>
          <a:pPr algn="ctr"/>
          <a:r>
            <a:rPr lang="fr-FR" sz="1050" b="1" cap="none" spc="50" baseline="0">
              <a:ln w="0"/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T.DECANIS</a:t>
          </a:r>
        </a:p>
      </xdr:txBody>
    </xdr:sp>
    <xdr:clientData/>
  </xdr:twoCellAnchor>
  <xdr:twoCellAnchor>
    <xdr:from>
      <xdr:col>2</xdr:col>
      <xdr:colOff>2451100</xdr:colOff>
      <xdr:row>1</xdr:row>
      <xdr:rowOff>88900</xdr:rowOff>
    </xdr:from>
    <xdr:to>
      <xdr:col>2</xdr:col>
      <xdr:colOff>3676650</xdr:colOff>
      <xdr:row>1</xdr:row>
      <xdr:rowOff>717550</xdr:rowOff>
    </xdr:to>
    <xdr:sp macro="" textlink="">
      <xdr:nvSpPr>
        <xdr:cNvPr id="5" name="Rectangle : coins arrondi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42689BC-75ED-964B-80C0-4FAF34E75139}"/>
            </a:ext>
          </a:extLst>
        </xdr:cNvPr>
        <xdr:cNvSpPr/>
      </xdr:nvSpPr>
      <xdr:spPr>
        <a:xfrm>
          <a:off x="3962400" y="127000"/>
          <a:ext cx="1225550" cy="628650"/>
        </a:xfrm>
        <a:prstGeom prst="roundRect">
          <a:avLst/>
        </a:prstGeom>
        <a:solidFill>
          <a:schemeClr val="accent5">
            <a:lumMod val="50000"/>
          </a:schemeClr>
        </a:solidFill>
        <a:ln>
          <a:solidFill>
            <a:schemeClr val="accent5">
              <a:lumMod val="50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050" b="1" cap="none" spc="50" baseline="0">
              <a:ln w="0"/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Amortissement </a:t>
          </a:r>
        </a:p>
        <a:p>
          <a:pPr algn="ctr"/>
          <a:r>
            <a:rPr lang="fr-FR" sz="1050" b="1" cap="none" spc="50" baseline="0">
              <a:ln w="0"/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LA VISTA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1</xdr:row>
      <xdr:rowOff>104775</xdr:rowOff>
    </xdr:from>
    <xdr:to>
      <xdr:col>2</xdr:col>
      <xdr:colOff>15119</xdr:colOff>
      <xdr:row>1</xdr:row>
      <xdr:rowOff>800100</xdr:rowOff>
    </xdr:to>
    <xdr:sp macro="" textlink="">
      <xdr:nvSpPr>
        <xdr:cNvPr id="2" name="Rectangle : coins arrondi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499D85-FE88-4E6C-B29C-DC67A1A5C16C}"/>
            </a:ext>
          </a:extLst>
        </xdr:cNvPr>
        <xdr:cNvSpPr/>
      </xdr:nvSpPr>
      <xdr:spPr>
        <a:xfrm>
          <a:off x="190450" y="145092"/>
          <a:ext cx="1472645" cy="695325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050" b="1" cap="none" spc="50" baseline="0">
              <a:ln w="0"/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Vision patrimoine</a:t>
          </a:r>
        </a:p>
      </xdr:txBody>
    </xdr:sp>
    <xdr:clientData/>
  </xdr:twoCellAnchor>
  <xdr:twoCellAnchor>
    <xdr:from>
      <xdr:col>1</xdr:col>
      <xdr:colOff>99180</xdr:colOff>
      <xdr:row>1</xdr:row>
      <xdr:rowOff>866775</xdr:rowOff>
    </xdr:from>
    <xdr:to>
      <xdr:col>2</xdr:col>
      <xdr:colOff>25199</xdr:colOff>
      <xdr:row>1</xdr:row>
      <xdr:rowOff>1562100</xdr:rowOff>
    </xdr:to>
    <xdr:sp macro="" textlink="">
      <xdr:nvSpPr>
        <xdr:cNvPr id="7" name="Rectangle : coins arrondi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EAFF95-A1D4-45E4-A034-43DAD5B5C56D}"/>
            </a:ext>
          </a:extLst>
        </xdr:cNvPr>
        <xdr:cNvSpPr/>
      </xdr:nvSpPr>
      <xdr:spPr>
        <a:xfrm>
          <a:off x="184855" y="907092"/>
          <a:ext cx="1488320" cy="695325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50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fr-FR" sz="1050" b="1" cap="none" spc="50">
              <a:ln w="0"/>
              <a:solidFill>
                <a:schemeClr val="bg2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Ammortissement</a:t>
          </a:r>
        </a:p>
        <a:p>
          <a:pPr marL="0" indent="0" algn="ctr"/>
          <a:r>
            <a:rPr lang="fr-FR" sz="1050" b="1" cap="none" spc="50">
              <a:ln w="0"/>
              <a:solidFill>
                <a:schemeClr val="bg2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TROIKA</a:t>
          </a:r>
        </a:p>
      </xdr:txBody>
    </xdr:sp>
    <xdr:clientData/>
  </xdr:twoCellAnchor>
  <xdr:twoCellAnchor>
    <xdr:from>
      <xdr:col>2</xdr:col>
      <xdr:colOff>65112</xdr:colOff>
      <xdr:row>1</xdr:row>
      <xdr:rowOff>101951</xdr:rowOff>
    </xdr:from>
    <xdr:to>
      <xdr:col>2</xdr:col>
      <xdr:colOff>1553432</xdr:colOff>
      <xdr:row>1</xdr:row>
      <xdr:rowOff>797276</xdr:rowOff>
    </xdr:to>
    <xdr:sp macro="" textlink="">
      <xdr:nvSpPr>
        <xdr:cNvPr id="8" name="Rectangle : coins arrondis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94976C8-125F-4D94-BD67-8041BFE84008}"/>
            </a:ext>
          </a:extLst>
        </xdr:cNvPr>
        <xdr:cNvSpPr/>
      </xdr:nvSpPr>
      <xdr:spPr>
        <a:xfrm>
          <a:off x="1713088" y="142268"/>
          <a:ext cx="1488320" cy="695325"/>
        </a:xfrm>
        <a:prstGeom prst="roundRect">
          <a:avLst/>
        </a:prstGeom>
        <a:solidFill>
          <a:schemeClr val="accent5">
            <a:lumMod val="50000"/>
          </a:schemeClr>
        </a:solidFill>
        <a:ln>
          <a:solidFill>
            <a:schemeClr val="accent5">
              <a:lumMod val="50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fr-FR" sz="1050" b="1" cap="none" spc="5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+mn-lt"/>
              <a:ea typeface="+mn-ea"/>
              <a:cs typeface="+mn-cs"/>
            </a:rPr>
            <a:t>Ammortissement</a:t>
          </a:r>
          <a:r>
            <a:rPr lang="fr-FR" sz="1050" b="1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+mn-lt"/>
              <a:ea typeface="+mn-ea"/>
              <a:cs typeface="+mn-cs"/>
            </a:rPr>
            <a:t> SCI La vista</a:t>
          </a:r>
          <a:endParaRPr lang="fr-FR" sz="1050" b="1" cap="none" spc="50">
            <a:ln w="0"/>
            <a:solidFill>
              <a:schemeClr val="bg2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66322</xdr:colOff>
      <xdr:row>1</xdr:row>
      <xdr:rowOff>864153</xdr:rowOff>
    </xdr:from>
    <xdr:to>
      <xdr:col>2</xdr:col>
      <xdr:colOff>1554642</xdr:colOff>
      <xdr:row>1</xdr:row>
      <xdr:rowOff>1559478</xdr:rowOff>
    </xdr:to>
    <xdr:sp macro="" textlink="">
      <xdr:nvSpPr>
        <xdr:cNvPr id="9" name="Rectangle : coins arrondi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A90971-1CE1-46E7-8AC8-AF8FE7C8E8A0}"/>
            </a:ext>
          </a:extLst>
        </xdr:cNvPr>
        <xdr:cNvSpPr/>
      </xdr:nvSpPr>
      <xdr:spPr>
        <a:xfrm>
          <a:off x="1714298" y="904470"/>
          <a:ext cx="1488320" cy="695325"/>
        </a:xfrm>
        <a:prstGeom prst="roundRect">
          <a:avLst/>
        </a:prstGeom>
        <a:solidFill>
          <a:schemeClr val="accent1">
            <a:lumMod val="50000"/>
          </a:schemeClr>
        </a:solidFill>
        <a:ln>
          <a:solidFill>
            <a:schemeClr val="accent5">
              <a:lumMod val="50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fr-FR" sz="1050" b="1" cap="none" spc="50">
              <a:ln w="0"/>
              <a:solidFill>
                <a:schemeClr val="bg2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Vision patrimoine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1</xdr:row>
      <xdr:rowOff>104775</xdr:rowOff>
    </xdr:from>
    <xdr:to>
      <xdr:col>2</xdr:col>
      <xdr:colOff>15119</xdr:colOff>
      <xdr:row>1</xdr:row>
      <xdr:rowOff>800100</xdr:rowOff>
    </xdr:to>
    <xdr:sp macro="" textlink="">
      <xdr:nvSpPr>
        <xdr:cNvPr id="2" name="Rectangle : coins arrondi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A2A806-5446-CA4F-B4D2-C722AF8D7C7D}"/>
            </a:ext>
          </a:extLst>
        </xdr:cNvPr>
        <xdr:cNvSpPr/>
      </xdr:nvSpPr>
      <xdr:spPr>
        <a:xfrm>
          <a:off x="193675" y="142875"/>
          <a:ext cx="1472444" cy="695325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050" b="1" cap="none" spc="50" baseline="0">
              <a:ln w="0"/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Vision patrimoine</a:t>
          </a:r>
        </a:p>
      </xdr:txBody>
    </xdr:sp>
    <xdr:clientData/>
  </xdr:twoCellAnchor>
  <xdr:twoCellAnchor>
    <xdr:from>
      <xdr:col>1</xdr:col>
      <xdr:colOff>99180</xdr:colOff>
      <xdr:row>1</xdr:row>
      <xdr:rowOff>866775</xdr:rowOff>
    </xdr:from>
    <xdr:to>
      <xdr:col>2</xdr:col>
      <xdr:colOff>25199</xdr:colOff>
      <xdr:row>1</xdr:row>
      <xdr:rowOff>1562100</xdr:rowOff>
    </xdr:to>
    <xdr:sp macro="" textlink="">
      <xdr:nvSpPr>
        <xdr:cNvPr id="3" name="Rectangle : coins arrondi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3A3886-8B08-BF42-9A19-7B3478712869}"/>
            </a:ext>
          </a:extLst>
        </xdr:cNvPr>
        <xdr:cNvSpPr/>
      </xdr:nvSpPr>
      <xdr:spPr>
        <a:xfrm>
          <a:off x="188080" y="904875"/>
          <a:ext cx="1488119" cy="695325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50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fr-FR" sz="1050" b="1" cap="none" spc="50">
              <a:ln w="0"/>
              <a:solidFill>
                <a:schemeClr val="bg2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Ammortissement</a:t>
          </a:r>
        </a:p>
        <a:p>
          <a:pPr marL="0" indent="0" algn="ctr"/>
          <a:r>
            <a:rPr lang="fr-FR" sz="1050" b="1" cap="none" spc="50">
              <a:ln w="0"/>
              <a:solidFill>
                <a:schemeClr val="bg2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TROIKA</a:t>
          </a:r>
        </a:p>
      </xdr:txBody>
    </xdr:sp>
    <xdr:clientData/>
  </xdr:twoCellAnchor>
  <xdr:twoCellAnchor>
    <xdr:from>
      <xdr:col>2</xdr:col>
      <xdr:colOff>65112</xdr:colOff>
      <xdr:row>1</xdr:row>
      <xdr:rowOff>101951</xdr:rowOff>
    </xdr:from>
    <xdr:to>
      <xdr:col>2</xdr:col>
      <xdr:colOff>1553432</xdr:colOff>
      <xdr:row>1</xdr:row>
      <xdr:rowOff>797276</xdr:rowOff>
    </xdr:to>
    <xdr:sp macro="" textlink="">
      <xdr:nvSpPr>
        <xdr:cNvPr id="4" name="Rectangle : coins arrondi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1B447C3-7227-D345-A8CB-541D97F29C29}"/>
            </a:ext>
          </a:extLst>
        </xdr:cNvPr>
        <xdr:cNvSpPr/>
      </xdr:nvSpPr>
      <xdr:spPr>
        <a:xfrm>
          <a:off x="1716112" y="140051"/>
          <a:ext cx="1488320" cy="695325"/>
        </a:xfrm>
        <a:prstGeom prst="roundRect">
          <a:avLst/>
        </a:prstGeom>
        <a:solidFill>
          <a:schemeClr val="accent5">
            <a:lumMod val="50000"/>
          </a:schemeClr>
        </a:solidFill>
        <a:ln>
          <a:solidFill>
            <a:schemeClr val="accent5">
              <a:lumMod val="50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fr-FR" sz="1050" b="1" cap="none" spc="5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+mn-lt"/>
              <a:ea typeface="+mn-ea"/>
              <a:cs typeface="+mn-cs"/>
            </a:rPr>
            <a:t>Ammortissement</a:t>
          </a:r>
          <a:r>
            <a:rPr lang="fr-FR" sz="1050" b="1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+mn-lt"/>
              <a:ea typeface="+mn-ea"/>
              <a:cs typeface="+mn-cs"/>
            </a:rPr>
            <a:t> SCI La vista</a:t>
          </a:r>
          <a:endParaRPr lang="fr-FR" sz="1050" b="1" cap="none" spc="50">
            <a:ln w="0"/>
            <a:solidFill>
              <a:schemeClr val="bg2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66322</xdr:colOff>
      <xdr:row>1</xdr:row>
      <xdr:rowOff>864153</xdr:rowOff>
    </xdr:from>
    <xdr:to>
      <xdr:col>2</xdr:col>
      <xdr:colOff>1554642</xdr:colOff>
      <xdr:row>1</xdr:row>
      <xdr:rowOff>1559478</xdr:rowOff>
    </xdr:to>
    <xdr:sp macro="" textlink="">
      <xdr:nvSpPr>
        <xdr:cNvPr id="5" name="Rectangle : coins arrondi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2AD608-33DA-FC48-AE1D-3A7296595946}"/>
            </a:ext>
          </a:extLst>
        </xdr:cNvPr>
        <xdr:cNvSpPr/>
      </xdr:nvSpPr>
      <xdr:spPr>
        <a:xfrm>
          <a:off x="1717322" y="902253"/>
          <a:ext cx="1488320" cy="695325"/>
        </a:xfrm>
        <a:prstGeom prst="roundRect">
          <a:avLst/>
        </a:prstGeom>
        <a:solidFill>
          <a:schemeClr val="accent1">
            <a:lumMod val="50000"/>
          </a:schemeClr>
        </a:solidFill>
        <a:ln>
          <a:solidFill>
            <a:schemeClr val="accent5">
              <a:lumMod val="50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fr-FR" sz="1050" b="1" cap="none" spc="50">
              <a:ln w="0"/>
              <a:solidFill>
                <a:schemeClr val="bg2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Vision patrimoine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F23DD9-4A5C-4E21-ADAA-2F9242435ACC}" name="Tableau3" displayName="Tableau3" ref="C4:I191" totalsRowShown="0" headerRowDxfId="10" dataDxfId="8" headerRowBorderDxfId="9" tableBorderDxfId="7">
  <autoFilter ref="C4:I191" xr:uid="{69174D1D-6A82-48D3-AEFB-0B90EE6F78A1}"/>
  <tableColumns count="7">
    <tableColumn id="8" xr3:uid="{219828C2-856B-4156-A9CC-1ECEA7E95EE1}" name="Mois" dataDxfId="6"/>
    <tableColumn id="9" xr3:uid="{97EA6254-F26D-4549-A978-536D84EFAB76}" name="Année" dataDxfId="5"/>
    <tableColumn id="2" xr3:uid="{45752277-EF77-47A0-9005-48E252B7A7AE}" name="22 RUE SERY 13003" dataDxfId="4"/>
    <tableColumn id="4" xr3:uid="{ECA5FE0B-D9C5-479F-935C-F4A7F95CD8FE}" name="47 RUE DANTON  13003" dataDxfId="3"/>
    <tableColumn id="5" xr3:uid="{5B71DF28-1985-4E63-ACA0-BC96C6397C48}" name="221 Bd libération" dataDxfId="2"/>
    <tableColumn id="6" xr3:uid="{F8ECB7F0-A169-4549-B3D8-0CE25DA182F1}" name="4 RUE MIREILLE 13400" dataDxfId="1"/>
    <tableColumn id="7" xr3:uid="{DDC3CDAB-A253-4F46-9540-2C41956C3CDE}" name="25 BD NOTRE DAME 13006" dataDxfId="0">
      <calculatedColumnFormula>I4-'Vision patrimoine'!$H$12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EA85A-5311-0C45-A4FF-A917764E7F3B}">
  <sheetPr>
    <tabColor theme="1" tint="0.249977111117893"/>
    <pageSetUpPr fitToPage="1"/>
  </sheetPr>
  <dimension ref="B2:N48"/>
  <sheetViews>
    <sheetView tabSelected="1" topLeftCell="F2" zoomScale="80" zoomScaleNormal="80" workbookViewId="0">
      <selection activeCell="M14" sqref="M14"/>
    </sheetView>
  </sheetViews>
  <sheetFormatPr baseColWidth="10" defaultRowHeight="16" x14ac:dyDescent="0.2"/>
  <cols>
    <col min="1" max="1" width="3.1640625" customWidth="1"/>
    <col min="2" max="2" width="37.33203125" customWidth="1"/>
    <col min="3" max="3" width="24" customWidth="1"/>
    <col min="4" max="4" width="17.1640625" customWidth="1"/>
    <col min="5" max="5" width="23.1640625" hidden="1" customWidth="1"/>
    <col min="6" max="6" width="23.1640625" customWidth="1"/>
    <col min="7" max="9" width="18.83203125" customWidth="1"/>
    <col min="10" max="11" width="19.83203125" customWidth="1"/>
    <col min="12" max="12" width="20.5" customWidth="1"/>
    <col min="13" max="13" width="24" customWidth="1"/>
    <col min="14" max="14" width="18.83203125" customWidth="1"/>
    <col min="15" max="15" width="15.6640625" customWidth="1"/>
    <col min="16" max="16" width="20.1640625" customWidth="1"/>
  </cols>
  <sheetData>
    <row r="2" spans="2:14" ht="48" customHeight="1" x14ac:dyDescent="0.2">
      <c r="B2" s="133" t="s">
        <v>18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</row>
    <row r="3" spans="2:14" ht="4.5" customHeight="1" x14ac:dyDescent="0.2"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</row>
    <row r="4" spans="2:14" ht="46.5" customHeight="1" x14ac:dyDescent="0.2">
      <c r="B4" s="73" t="s">
        <v>28</v>
      </c>
      <c r="C4" s="73" t="s">
        <v>29</v>
      </c>
      <c r="D4" s="135">
        <f t="array" ref="D4">MATCH(1,('Amort Beneduc'!$C$5:$C$191=$B$5)*('Amort Beneduc'!$D$5:$D$191=$C$5),0)</f>
        <v>41</v>
      </c>
      <c r="F4" s="144"/>
      <c r="G4" s="145"/>
      <c r="H4" s="145"/>
      <c r="I4" s="145"/>
      <c r="J4" s="145"/>
      <c r="K4" s="146"/>
      <c r="L4" s="43" t="s">
        <v>60</v>
      </c>
      <c r="M4" s="43" t="s">
        <v>21</v>
      </c>
    </row>
    <row r="5" spans="2:14" ht="33" customHeight="1" x14ac:dyDescent="0.2">
      <c r="B5" s="42" t="s">
        <v>34</v>
      </c>
      <c r="C5" s="42">
        <v>2026</v>
      </c>
      <c r="D5" s="135"/>
      <c r="F5" s="147"/>
      <c r="G5" s="148"/>
      <c r="H5" s="148"/>
      <c r="I5" s="148"/>
      <c r="J5" s="148"/>
      <c r="K5" s="149"/>
      <c r="L5" s="28">
        <f>F14/2</f>
        <v>80048.115000000194</v>
      </c>
      <c r="M5" s="27">
        <f>H14/2</f>
        <v>926.08500000000004</v>
      </c>
    </row>
    <row r="6" spans="2:14" ht="4.5" customHeight="1" x14ac:dyDescent="0.2">
      <c r="G6" s="2"/>
    </row>
    <row r="7" spans="2:14" ht="44.25" customHeight="1" x14ac:dyDescent="0.2">
      <c r="B7" s="18" t="s">
        <v>0</v>
      </c>
      <c r="C7" s="19" t="s">
        <v>22</v>
      </c>
      <c r="D7" s="19" t="s">
        <v>23</v>
      </c>
      <c r="E7" s="19" t="s">
        <v>19</v>
      </c>
      <c r="F7" s="45" t="s">
        <v>19</v>
      </c>
      <c r="G7" s="25" t="s">
        <v>24</v>
      </c>
      <c r="H7" s="48" t="s">
        <v>3</v>
      </c>
      <c r="I7" s="26" t="s">
        <v>20</v>
      </c>
      <c r="J7" s="25" t="s">
        <v>25</v>
      </c>
      <c r="K7" s="26" t="s">
        <v>2</v>
      </c>
      <c r="L7" s="46" t="s">
        <v>1</v>
      </c>
      <c r="M7" s="19" t="s">
        <v>17</v>
      </c>
    </row>
    <row r="8" spans="2:14" s="7" customFormat="1" ht="20" x14ac:dyDescent="0.2">
      <c r="B8" s="3" t="s">
        <v>4</v>
      </c>
      <c r="C8" s="4" t="s">
        <v>14</v>
      </c>
      <c r="D8" s="20">
        <v>1</v>
      </c>
      <c r="E8" s="6">
        <v>42620.35</v>
      </c>
      <c r="F8" s="47">
        <f t="array" ref="F8">INDEX('Amort Beneduc'!$E$5:$I$191,MATCH(1,('Amort Beneduc'!$C$5:$C$191=$B$5)*('Amort Beneduc'!$D$5:$D$191=$C$5),0),1)</f>
        <v>25013.149999999987</v>
      </c>
      <c r="G8" s="66">
        <v>534</v>
      </c>
      <c r="H8" s="66">
        <v>440.18</v>
      </c>
      <c r="I8" s="67">
        <f t="shared" ref="I8:I12" si="0">G8-H8-(K8/12)</f>
        <v>59.653333333333329</v>
      </c>
      <c r="J8" s="70">
        <f t="shared" ref="J8:J12" si="1">(G8*12)</f>
        <v>6408</v>
      </c>
      <c r="K8" s="69">
        <v>410</v>
      </c>
      <c r="L8" s="49">
        <v>11444</v>
      </c>
      <c r="M8" s="6">
        <v>85000</v>
      </c>
    </row>
    <row r="9" spans="2:14" s="7" customFormat="1" ht="20" x14ac:dyDescent="0.2">
      <c r="B9" s="52" t="s">
        <v>6</v>
      </c>
      <c r="C9" s="55" t="s">
        <v>63</v>
      </c>
      <c r="D9" s="142">
        <v>2</v>
      </c>
      <c r="E9" s="136">
        <v>33327.18</v>
      </c>
      <c r="F9" s="53"/>
      <c r="G9" s="60">
        <v>450</v>
      </c>
      <c r="H9" s="60">
        <v>175</v>
      </c>
      <c r="I9" s="61">
        <f t="shared" si="0"/>
        <v>251.25</v>
      </c>
      <c r="J9" s="62">
        <f t="shared" si="1"/>
        <v>5400</v>
      </c>
      <c r="K9" s="63">
        <v>285</v>
      </c>
      <c r="L9" s="138">
        <v>11475</v>
      </c>
      <c r="M9" s="140">
        <v>60000</v>
      </c>
      <c r="N9" s="8"/>
    </row>
    <row r="10" spans="2:14" s="7" customFormat="1" ht="20" x14ac:dyDescent="0.2">
      <c r="B10" s="52" t="s">
        <v>10</v>
      </c>
      <c r="C10" s="56" t="s">
        <v>16</v>
      </c>
      <c r="D10" s="143"/>
      <c r="E10" s="137"/>
      <c r="F10" s="54">
        <f t="array" ref="F10">INDEX('Amort Beneduc'!$E$5:$I$191,MATCH(1,('Amort Beneduc'!$C$5:$C$191=$B$5)*('Amort Beneduc'!$D$5:$D$191=$C$5),0),2)</f>
        <v>19327.18</v>
      </c>
      <c r="G10" s="60">
        <v>450</v>
      </c>
      <c r="H10" s="57">
        <v>175</v>
      </c>
      <c r="I10" s="57">
        <f t="shared" si="0"/>
        <v>251.25</v>
      </c>
      <c r="J10" s="58">
        <f t="shared" si="1"/>
        <v>5400</v>
      </c>
      <c r="K10" s="59">
        <v>285</v>
      </c>
      <c r="L10" s="139"/>
      <c r="M10" s="141"/>
    </row>
    <row r="11" spans="2:14" s="7" customFormat="1" ht="20" x14ac:dyDescent="0.2">
      <c r="B11" s="3" t="s">
        <v>8</v>
      </c>
      <c r="C11" s="4" t="s">
        <v>13</v>
      </c>
      <c r="D11" s="20">
        <v>1</v>
      </c>
      <c r="E11" s="6">
        <v>59906.01</v>
      </c>
      <c r="F11" s="47">
        <f t="array" ref="F11">INDEX('Amort Beneduc'!$E$5:$I$191,MATCH(1,('Amort Beneduc'!$C$5:$C$191=$B$5)*('Amort Beneduc'!$D$5:$D$191=$C$5),0),4)</f>
        <v>42598.010000000118</v>
      </c>
      <c r="G11" s="68">
        <v>566</v>
      </c>
      <c r="H11" s="68">
        <v>432.7</v>
      </c>
      <c r="I11" s="68">
        <f t="shared" si="0"/>
        <v>89.133333333333354</v>
      </c>
      <c r="J11" s="66">
        <f t="shared" si="1"/>
        <v>6792</v>
      </c>
      <c r="K11" s="67">
        <v>530</v>
      </c>
      <c r="L11" s="50" t="s">
        <v>26</v>
      </c>
      <c r="M11" s="6">
        <v>85000</v>
      </c>
    </row>
    <row r="12" spans="2:14" s="7" customFormat="1" ht="20" x14ac:dyDescent="0.2">
      <c r="B12" s="3" t="s">
        <v>9</v>
      </c>
      <c r="C12" s="5" t="s">
        <v>15</v>
      </c>
      <c r="D12" s="22">
        <v>1</v>
      </c>
      <c r="E12" s="9">
        <v>98329.49</v>
      </c>
      <c r="F12" s="47" cm="1">
        <f t="array" ref="F12">INDEX('Amort Beneduc'!$E$5:$I$191,MATCH(1,('Amort Beneduc'!$C$5:$C$191=$B$5)*('Amort Beneduc'!$D$5:$D$191=$C$5),0),5)</f>
        <v>73157.890000000261</v>
      </c>
      <c r="G12" s="66">
        <v>540</v>
      </c>
      <c r="H12" s="66">
        <v>629.29</v>
      </c>
      <c r="I12" s="67">
        <f t="shared" si="0"/>
        <v>-147.62333333333331</v>
      </c>
      <c r="J12" s="70">
        <f t="shared" si="1"/>
        <v>6480</v>
      </c>
      <c r="K12" s="69">
        <v>700</v>
      </c>
      <c r="L12" s="51" t="s">
        <v>11</v>
      </c>
      <c r="M12" s="9">
        <v>150000</v>
      </c>
    </row>
    <row r="13" spans="2:14" s="7" customFormat="1" ht="20" x14ac:dyDescent="0.2">
      <c r="B13" s="3" t="s">
        <v>83</v>
      </c>
      <c r="C13" s="5" t="s">
        <v>85</v>
      </c>
      <c r="D13" s="22">
        <v>1</v>
      </c>
      <c r="E13" s="9">
        <v>68990</v>
      </c>
      <c r="F13" s="47" cm="1">
        <f t="array" ref="F13">INDEX('Amort Beneduc'!$E$5:$I$191,MATCH(1,('Amort Beneduc'!$C$5:$C$191=$B$5)*('Amort Beneduc'!$D$5:$D$191=$C$5),0),3)</f>
        <v>68990</v>
      </c>
      <c r="G13" s="66">
        <v>425</v>
      </c>
      <c r="H13" s="66">
        <v>590.28</v>
      </c>
      <c r="I13" s="67">
        <f t="shared" ref="I13" si="2">G13-H13-(K13/12)</f>
        <v>-206.52999999999997</v>
      </c>
      <c r="J13" s="70">
        <f t="shared" ref="J13" si="3">(G13*12)</f>
        <v>5100</v>
      </c>
      <c r="K13" s="69">
        <v>495</v>
      </c>
      <c r="L13" s="51" t="s">
        <v>11</v>
      </c>
      <c r="M13" s="9">
        <v>115000</v>
      </c>
    </row>
    <row r="14" spans="2:14" ht="32.25" customHeight="1" x14ac:dyDescent="0.2">
      <c r="B14" s="79" t="s">
        <v>12</v>
      </c>
      <c r="C14" s="74"/>
      <c r="D14" s="75"/>
      <c r="E14" s="76">
        <f t="shared" ref="E14:K14" si="4">SUM(E8:E12)</f>
        <v>234183.03000000003</v>
      </c>
      <c r="F14" s="76">
        <f t="shared" si="4"/>
        <v>160096.23000000039</v>
      </c>
      <c r="G14" s="76">
        <f t="shared" si="4"/>
        <v>2540</v>
      </c>
      <c r="H14" s="76">
        <f t="shared" si="4"/>
        <v>1852.17</v>
      </c>
      <c r="I14" s="76">
        <f t="shared" si="4"/>
        <v>503.6633333333333</v>
      </c>
      <c r="J14" s="76">
        <f t="shared" si="4"/>
        <v>30480</v>
      </c>
      <c r="K14" s="76">
        <f t="shared" si="4"/>
        <v>2210</v>
      </c>
      <c r="L14" s="77"/>
      <c r="M14" s="78">
        <f>SUM(M8:M12)</f>
        <v>380000</v>
      </c>
    </row>
    <row r="15" spans="2:14" ht="22.5" customHeight="1" x14ac:dyDescent="0.2"/>
    <row r="16" spans="2:14" ht="48" customHeight="1" x14ac:dyDescent="0.2">
      <c r="B16" s="134" t="s">
        <v>42</v>
      </c>
      <c r="C16" s="134"/>
      <c r="D16" s="134"/>
      <c r="E16" s="134"/>
      <c r="F16" s="134"/>
      <c r="G16" s="134"/>
      <c r="H16" s="134"/>
      <c r="I16" s="134"/>
      <c r="J16" s="134"/>
      <c r="K16" s="134"/>
      <c r="L16" s="134"/>
      <c r="M16" s="134"/>
    </row>
    <row r="17" spans="2:13" ht="5.25" customHeight="1" x14ac:dyDescent="0.2"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</row>
    <row r="18" spans="2:13" ht="46.5" customHeight="1" x14ac:dyDescent="0.2">
      <c r="B18" s="72" t="s">
        <v>28</v>
      </c>
      <c r="C18" s="72" t="s">
        <v>29</v>
      </c>
      <c r="D18" s="135">
        <f t="array" ref="D18">MATCH(1,('Amort Troika'!$B$5:$B$146='Vision patrimoine'!$B$19)*('Amort Troika'!$C$5:$C$146='Vision patrimoine'!$C$19),0)</f>
        <v>36</v>
      </c>
      <c r="F18" s="127"/>
      <c r="G18" s="128"/>
      <c r="H18" s="128"/>
      <c r="I18" s="128"/>
      <c r="J18" s="128"/>
      <c r="K18" s="129"/>
      <c r="L18" s="44" t="s">
        <v>59</v>
      </c>
      <c r="M18" s="44" t="s">
        <v>21</v>
      </c>
    </row>
    <row r="19" spans="2:13" ht="33" customHeight="1" x14ac:dyDescent="0.2">
      <c r="B19" s="42" t="s">
        <v>41</v>
      </c>
      <c r="C19" s="42">
        <v>2025</v>
      </c>
      <c r="D19" s="135"/>
      <c r="F19" s="130"/>
      <c r="G19" s="131"/>
      <c r="H19" s="131"/>
      <c r="I19" s="131"/>
      <c r="J19" s="131"/>
      <c r="K19" s="132"/>
      <c r="L19" s="29">
        <f>F26/3</f>
        <v>126275.74000000006</v>
      </c>
      <c r="M19" s="27">
        <f>H26/3</f>
        <v>1660.0133333333333</v>
      </c>
    </row>
    <row r="20" spans="2:13" ht="4.5" customHeight="1" x14ac:dyDescent="0.2"/>
    <row r="21" spans="2:13" ht="38.25" customHeight="1" x14ac:dyDescent="0.2">
      <c r="B21" s="87" t="s">
        <v>0</v>
      </c>
      <c r="C21" s="88" t="s">
        <v>43</v>
      </c>
      <c r="D21" s="88" t="s">
        <v>23</v>
      </c>
      <c r="E21" s="88" t="s">
        <v>19</v>
      </c>
      <c r="F21" s="88" t="s">
        <v>19</v>
      </c>
      <c r="G21" s="87" t="s">
        <v>52</v>
      </c>
      <c r="H21" s="87" t="s">
        <v>3</v>
      </c>
      <c r="I21" s="87" t="s">
        <v>20</v>
      </c>
      <c r="J21" s="87" t="s">
        <v>25</v>
      </c>
      <c r="K21" s="87" t="s">
        <v>2</v>
      </c>
      <c r="L21" s="88" t="s">
        <v>1</v>
      </c>
      <c r="M21" s="88" t="s">
        <v>17</v>
      </c>
    </row>
    <row r="22" spans="2:13" ht="20" x14ac:dyDescent="0.2">
      <c r="B22" s="3" t="s">
        <v>44</v>
      </c>
      <c r="C22" s="4" t="s">
        <v>45</v>
      </c>
      <c r="D22" s="20">
        <v>8</v>
      </c>
      <c r="E22" s="6">
        <v>332569</v>
      </c>
      <c r="F22" s="47">
        <f t="array" ref="F22">INDEX('Amort Troika'!$D$5:$H$146,MATCH(1,('Amort Troika'!$B$5:$B$146='Vision patrimoine'!$B$19)*('Amort Troika'!$C$5:$C$146='Vision patrimoine'!$C$19),0),1)</f>
        <v>216717.25000000041</v>
      </c>
      <c r="G22" s="66">
        <v>5035</v>
      </c>
      <c r="H22" s="66">
        <v>3310.05</v>
      </c>
      <c r="I22" s="67">
        <f>G22-H22-(K22)/12</f>
        <v>1508.2833333333331</v>
      </c>
      <c r="J22" s="69">
        <f>G22*12</f>
        <v>60420</v>
      </c>
      <c r="K22" s="69">
        <v>2600</v>
      </c>
      <c r="L22" s="64">
        <v>11567</v>
      </c>
      <c r="M22" s="6">
        <v>670000</v>
      </c>
    </row>
    <row r="23" spans="2:13" ht="20" x14ac:dyDescent="0.2">
      <c r="B23" s="3" t="s">
        <v>47</v>
      </c>
      <c r="C23" s="4" t="s">
        <v>48</v>
      </c>
      <c r="D23" s="20">
        <v>1</v>
      </c>
      <c r="E23" s="6">
        <v>103262.68</v>
      </c>
      <c r="F23" s="47">
        <f t="array" ref="F23">INDEX('Amort Troika'!$D$5:$H$146,MATCH(1,('Amort Troika'!$B$5:$B$146='Vision patrimoine'!$B$19)*('Amort Troika'!$C$5:$C$146='Vision patrimoine'!$C$19),0),3)</f>
        <v>73353.429999999891</v>
      </c>
      <c r="G23" s="66">
        <v>740</v>
      </c>
      <c r="H23" s="66">
        <v>854.55</v>
      </c>
      <c r="I23" s="67">
        <f t="shared" ref="I23:I25" si="5">G23-H23-(K23)/12</f>
        <v>-184.13333333333327</v>
      </c>
      <c r="J23" s="69">
        <f t="shared" ref="J23:J25" si="6">G23*12</f>
        <v>8880</v>
      </c>
      <c r="K23" s="69">
        <v>835</v>
      </c>
      <c r="L23" s="65">
        <v>13271</v>
      </c>
      <c r="M23" s="9">
        <v>145000</v>
      </c>
    </row>
    <row r="24" spans="2:13" ht="20" x14ac:dyDescent="0.2">
      <c r="B24" s="3" t="s">
        <v>49</v>
      </c>
      <c r="C24" s="4" t="s">
        <v>64</v>
      </c>
      <c r="D24" s="21">
        <v>3</v>
      </c>
      <c r="E24" s="6">
        <v>76008</v>
      </c>
      <c r="F24" s="98">
        <f t="array" ref="F24">INDEX('Amort Troika'!$D$5:$H$146,MATCH(1,('Amort Troika'!$B$5:$B$146='Vision patrimoine'!$B$19)*('Amort Troika'!$C$5:$C$146='Vision patrimoine'!$C$19),0),4)</f>
        <v>57528</v>
      </c>
      <c r="G24" s="68">
        <v>1993</v>
      </c>
      <c r="H24" s="68">
        <v>528</v>
      </c>
      <c r="I24" s="69">
        <f t="shared" si="5"/>
        <v>1348.3333333333333</v>
      </c>
      <c r="J24" s="67">
        <f t="shared" si="6"/>
        <v>23916</v>
      </c>
      <c r="K24" s="67">
        <v>1400</v>
      </c>
      <c r="L24" s="64">
        <v>13028</v>
      </c>
      <c r="M24" s="6">
        <v>360000</v>
      </c>
    </row>
    <row r="25" spans="2:13" ht="20" x14ac:dyDescent="0.2">
      <c r="B25" s="71" t="s">
        <v>50</v>
      </c>
      <c r="C25" s="5" t="s">
        <v>14</v>
      </c>
      <c r="D25" s="22">
        <v>1</v>
      </c>
      <c r="E25" s="6">
        <v>41288.94</v>
      </c>
      <c r="F25" s="47">
        <f t="array" ref="F25">INDEX('Amort Troika'!$D$5:$H$146,MATCH(1,('Amort Troika'!$B$5:$B$146='Vision patrimoine'!$B$19)*('Amort Troika'!$C$5:$C$146='Vision patrimoine'!$C$19),0),5)</f>
        <v>31228.539999999943</v>
      </c>
      <c r="G25" s="66"/>
      <c r="H25" s="66">
        <v>287.44</v>
      </c>
      <c r="I25" s="67">
        <f t="shared" si="5"/>
        <v>-311.60666666666668</v>
      </c>
      <c r="J25" s="69">
        <f t="shared" si="6"/>
        <v>0</v>
      </c>
      <c r="K25" s="69">
        <v>290</v>
      </c>
      <c r="L25" s="65">
        <v>13058</v>
      </c>
      <c r="M25" s="9">
        <v>90000</v>
      </c>
    </row>
    <row r="26" spans="2:13" ht="32.25" customHeight="1" x14ac:dyDescent="0.2">
      <c r="B26" s="80" t="s">
        <v>51</v>
      </c>
      <c r="C26" s="81"/>
      <c r="D26" s="82"/>
      <c r="E26" s="83">
        <f t="shared" ref="E26:K26" si="7">SUM(E22:E25)</f>
        <v>553128.62</v>
      </c>
      <c r="F26" s="83">
        <f t="shared" si="7"/>
        <v>378827.2200000002</v>
      </c>
      <c r="G26" s="83">
        <f t="shared" si="7"/>
        <v>7768</v>
      </c>
      <c r="H26" s="84">
        <f t="shared" si="7"/>
        <v>4980.04</v>
      </c>
      <c r="I26" s="83">
        <f t="shared" si="7"/>
        <v>2360.8766666666666</v>
      </c>
      <c r="J26" s="83">
        <f t="shared" si="7"/>
        <v>93216</v>
      </c>
      <c r="K26" s="83">
        <f t="shared" si="7"/>
        <v>5125</v>
      </c>
      <c r="L26" s="85"/>
      <c r="M26" s="86">
        <f>SUM(M22:M25)</f>
        <v>1265000</v>
      </c>
    </row>
    <row r="27" spans="2:13" ht="21" customHeight="1" x14ac:dyDescent="0.2"/>
    <row r="28" spans="2:13" ht="48" customHeight="1" x14ac:dyDescent="0.2">
      <c r="B28" s="126" t="s">
        <v>54</v>
      </c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</row>
    <row r="29" spans="2:13" ht="5.25" customHeight="1" x14ac:dyDescent="0.2"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</row>
    <row r="30" spans="2:13" ht="46.5" customHeight="1" x14ac:dyDescent="0.2">
      <c r="B30" s="95" t="s">
        <v>28</v>
      </c>
      <c r="C30" s="95" t="s">
        <v>29</v>
      </c>
      <c r="D30" s="90">
        <f t="array" ref="D30:D31">MATCH(1,('Amort SCI La vista'!$B$5:$B$148='Vision patrimoine'!$B$31)*('Amort SCI La vista'!$C$5:$C$148='Vision patrimoine'!$C$31),0)</f>
        <v>30</v>
      </c>
      <c r="F30" s="127"/>
      <c r="G30" s="128"/>
      <c r="H30" s="128"/>
      <c r="I30" s="128"/>
      <c r="J30" s="128"/>
      <c r="K30" s="129"/>
      <c r="L30" s="96" t="s">
        <v>59</v>
      </c>
      <c r="M30" s="96" t="s">
        <v>21</v>
      </c>
    </row>
    <row r="31" spans="2:13" ht="33" customHeight="1" x14ac:dyDescent="0.2">
      <c r="B31" s="42" t="s">
        <v>41</v>
      </c>
      <c r="C31" s="42">
        <v>2025</v>
      </c>
      <c r="D31" s="90">
        <v>30</v>
      </c>
      <c r="F31" s="130"/>
      <c r="G31" s="131"/>
      <c r="H31" s="131"/>
      <c r="I31" s="131"/>
      <c r="J31" s="131"/>
      <c r="K31" s="132"/>
      <c r="L31" s="29">
        <f>F36/3</f>
        <v>55241.498333333329</v>
      </c>
      <c r="M31" s="27">
        <f>H36/3</f>
        <v>597.99666666666667</v>
      </c>
    </row>
    <row r="32" spans="2:13" ht="4.5" customHeight="1" x14ac:dyDescent="0.2"/>
    <row r="33" spans="2:13" ht="38.25" customHeight="1" x14ac:dyDescent="0.2">
      <c r="B33" s="87" t="s">
        <v>0</v>
      </c>
      <c r="C33" s="88" t="s">
        <v>43</v>
      </c>
      <c r="D33" s="88" t="s">
        <v>57</v>
      </c>
      <c r="E33" s="88" t="s">
        <v>19</v>
      </c>
      <c r="F33" s="88" t="s">
        <v>19</v>
      </c>
      <c r="G33" s="87" t="s">
        <v>52</v>
      </c>
      <c r="H33" s="87" t="s">
        <v>3</v>
      </c>
      <c r="I33" s="87" t="s">
        <v>20</v>
      </c>
      <c r="J33" s="87" t="s">
        <v>25</v>
      </c>
      <c r="K33" s="87" t="s">
        <v>2</v>
      </c>
      <c r="L33" s="88" t="s">
        <v>1</v>
      </c>
      <c r="M33" s="88" t="s">
        <v>17</v>
      </c>
    </row>
    <row r="34" spans="2:13" ht="20" x14ac:dyDescent="0.2">
      <c r="B34" s="3" t="s">
        <v>55</v>
      </c>
      <c r="C34" s="4" t="s">
        <v>56</v>
      </c>
      <c r="D34" s="20">
        <v>1</v>
      </c>
      <c r="E34" s="6">
        <v>95000</v>
      </c>
      <c r="F34" s="47">
        <f t="array" ref="F34">INDEX('Amort SCI La vista'!D5:D148,MATCH(1,('Amort SCI La vista'!$B$5:$B$148='Vision patrimoine'!$B$31)*('Amort SCI La vista'!$C$5:$C$148='Vision patrimoine'!$C$31),0),1)</f>
        <v>79463.684999999998</v>
      </c>
      <c r="G34" s="66">
        <v>1198.8</v>
      </c>
      <c r="H34" s="66">
        <v>877</v>
      </c>
      <c r="I34" s="67">
        <f>G34-H34-(K34)/12</f>
        <v>175.96666666666661</v>
      </c>
      <c r="J34" s="69">
        <f>G34*12</f>
        <v>14385.599999999999</v>
      </c>
      <c r="K34" s="69">
        <v>1750</v>
      </c>
      <c r="L34" s="64">
        <v>49400</v>
      </c>
      <c r="M34" s="6">
        <v>230000</v>
      </c>
    </row>
    <row r="35" spans="2:13" ht="20" x14ac:dyDescent="0.2">
      <c r="B35" s="3" t="s">
        <v>84</v>
      </c>
      <c r="C35" s="4" t="s">
        <v>66</v>
      </c>
      <c r="D35" s="20">
        <v>1</v>
      </c>
      <c r="E35" s="6">
        <v>90000</v>
      </c>
      <c r="F35" s="47" cm="1">
        <f t="array" ref="F35">INDEX('Amort SCI La vista'!F27:F158,MATCH(1,('Amort SCI La vista'!$B$27:$B$158='Vision patrimoine'!$B$31)*('Amort SCI La vista'!$C$27:$C$158='Vision patrimoine'!$C$31),0),1)</f>
        <v>86260.81</v>
      </c>
      <c r="G35" s="66">
        <v>1000</v>
      </c>
      <c r="H35" s="66">
        <v>916.99</v>
      </c>
      <c r="I35" s="67">
        <f>G35-H35-(K35)/12</f>
        <v>83.009999999999991</v>
      </c>
      <c r="J35" s="69">
        <f>G35*12</f>
        <v>12000</v>
      </c>
      <c r="K35" s="69">
        <v>0</v>
      </c>
      <c r="L35" s="64">
        <v>49618</v>
      </c>
      <c r="M35" s="6">
        <v>160000</v>
      </c>
    </row>
    <row r="36" spans="2:13" ht="32.25" customHeight="1" x14ac:dyDescent="0.2">
      <c r="B36" s="79" t="s">
        <v>51</v>
      </c>
      <c r="C36" s="74"/>
      <c r="D36" s="75"/>
      <c r="E36" s="76">
        <f>SUM(E30:E34)</f>
        <v>95000</v>
      </c>
      <c r="F36" s="76">
        <f>SUM(F34:F35)</f>
        <v>165724.495</v>
      </c>
      <c r="G36" s="76">
        <f t="shared" ref="G36:I36" si="8">SUM(G34:G35)</f>
        <v>2198.8000000000002</v>
      </c>
      <c r="H36" s="76">
        <f t="shared" si="8"/>
        <v>1793.99</v>
      </c>
      <c r="I36" s="76">
        <f t="shared" si="8"/>
        <v>258.97666666666657</v>
      </c>
      <c r="J36" s="76">
        <f>SUM(J34:J35)</f>
        <v>26385.599999999999</v>
      </c>
      <c r="K36" s="76">
        <f>SUM(K34:K35)</f>
        <v>1750</v>
      </c>
      <c r="L36" s="77"/>
      <c r="M36" s="97">
        <f>SUM(M34:M35)</f>
        <v>390000</v>
      </c>
    </row>
    <row r="38" spans="2:13" ht="48" customHeight="1" x14ac:dyDescent="0.2">
      <c r="B38" s="125" t="s">
        <v>82</v>
      </c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</row>
    <row r="39" spans="2:13" ht="5.25" customHeight="1" x14ac:dyDescent="0.2"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</row>
    <row r="40" spans="2:13" ht="46.5" customHeight="1" x14ac:dyDescent="0.2">
      <c r="B40" s="106" t="s">
        <v>28</v>
      </c>
      <c r="C40" s="106" t="s">
        <v>29</v>
      </c>
      <c r="D40" s="90">
        <f t="array" ref="D40:D41">MATCH(1,('Residence Principale'!$B$5:$B$300='Vision patrimoine'!$B$41)*('Residence Principale'!$C$5:$C$300='Vision patrimoine'!$C$41),0)</f>
        <v>12</v>
      </c>
      <c r="F40" s="124"/>
      <c r="G40" s="124"/>
      <c r="H40" s="124"/>
      <c r="I40" s="124"/>
      <c r="J40" s="122" t="s">
        <v>80</v>
      </c>
      <c r="K40" s="122" t="s">
        <v>81</v>
      </c>
      <c r="L40" s="107" t="s">
        <v>21</v>
      </c>
      <c r="M40" s="107" t="s">
        <v>77</v>
      </c>
    </row>
    <row r="41" spans="2:13" ht="33" customHeight="1" x14ac:dyDescent="0.2">
      <c r="B41" s="42" t="s">
        <v>41</v>
      </c>
      <c r="C41" s="42">
        <v>2025</v>
      </c>
      <c r="D41" s="90">
        <v>12</v>
      </c>
      <c r="F41" s="124"/>
      <c r="G41" s="124"/>
      <c r="H41" s="124"/>
      <c r="I41" s="124"/>
      <c r="J41" s="29">
        <f>F45*0.66</f>
        <v>176038.77720000004</v>
      </c>
      <c r="K41" s="29">
        <f>F45*0.34</f>
        <v>90686.642800000016</v>
      </c>
      <c r="L41" s="27">
        <f>G44*0.66</f>
        <v>554.4</v>
      </c>
      <c r="M41" s="27">
        <f>G44*0.34</f>
        <v>285.60000000000002</v>
      </c>
    </row>
    <row r="42" spans="2:13" ht="4.5" customHeight="1" x14ac:dyDescent="0.2"/>
    <row r="43" spans="2:13" ht="38.25" customHeight="1" x14ac:dyDescent="0.2">
      <c r="B43" s="113" t="s">
        <v>0</v>
      </c>
      <c r="C43" s="114" t="s">
        <v>43</v>
      </c>
      <c r="D43" s="114" t="s">
        <v>69</v>
      </c>
      <c r="E43" s="114" t="s">
        <v>19</v>
      </c>
      <c r="F43" s="114" t="s">
        <v>73</v>
      </c>
      <c r="G43" s="114" t="s">
        <v>75</v>
      </c>
      <c r="H43" s="114" t="s">
        <v>72</v>
      </c>
      <c r="I43" s="114" t="s">
        <v>76</v>
      </c>
      <c r="J43" s="114" t="s">
        <v>74</v>
      </c>
      <c r="K43" s="113" t="s">
        <v>2</v>
      </c>
      <c r="L43" s="114" t="s">
        <v>1</v>
      </c>
      <c r="M43" s="114" t="s">
        <v>17</v>
      </c>
    </row>
    <row r="44" spans="2:13" ht="20" x14ac:dyDescent="0.2">
      <c r="B44" s="3" t="s">
        <v>68</v>
      </c>
      <c r="C44" s="4" t="s">
        <v>79</v>
      </c>
      <c r="D44" s="20">
        <v>1</v>
      </c>
      <c r="E44" s="6">
        <f>'Residence Principale'!D5</f>
        <v>266771.42</v>
      </c>
      <c r="F44" s="47">
        <f t="array" ref="F44">INDEX('Residence Principale'!$D$5:$D$300,MATCH(1,('Residence Principale'!$B$5:$B300='Vision patrimoine'!$B$41)*('Residence Principale'!$C$5:$C$300='Vision patrimoine'!$C$41),0),1)</f>
        <v>266725.42000000004</v>
      </c>
      <c r="G44" s="115">
        <f t="array" ref="G44">INDEX('Residence Principale'!$F$5:$F$300,MATCH(1,('Residence Principale'!$B$5:$B300='Vision patrimoine'!$B$41)*('Residence Principale'!$C$5:$C$300='Vision patrimoine'!$C$41),0),1)</f>
        <v>840</v>
      </c>
      <c r="H44" s="115">
        <f t="array" ref="H44">INDEX('Residence Principale'!$G$5:$G$300,MATCH(1,('Residence Principale'!$B$5:$B300='Vision patrimoine'!$B$41)*('Residence Principale'!$C$5:$C$300='Vision patrimoine'!$C$41),0),1)</f>
        <v>835.75</v>
      </c>
      <c r="I44" s="116">
        <f t="array" ref="I44">INDEX('Residence Principale'!$E$5:$E$300,MATCH(1,('Residence Principale'!$B$5:$B300='Vision patrimoine'!$B$41)*('Residence Principale'!$C$5:$C$300='Vision patrimoine'!$C$41),0),1)</f>
        <v>4.25</v>
      </c>
      <c r="J44" s="117">
        <f t="array" ref="J44">INDEX('Residence Principale'!$H$5:$H$300,MATCH(1,('Residence Principale'!$B$5:$B300='Vision patrimoine'!$B$41)*('Residence Principale'!$C$5:$C$300='Vision patrimoine'!$C$41),0),1)</f>
        <v>64.48</v>
      </c>
      <c r="K44" s="117">
        <v>2400</v>
      </c>
      <c r="L44" s="64">
        <v>54697</v>
      </c>
      <c r="M44" s="6">
        <v>630000</v>
      </c>
    </row>
    <row r="45" spans="2:13" ht="32.25" customHeight="1" x14ac:dyDescent="0.2">
      <c r="B45" s="108" t="s">
        <v>51</v>
      </c>
      <c r="C45" s="109"/>
      <c r="D45" s="110"/>
      <c r="E45" s="111">
        <f>SUM(E40:E44)</f>
        <v>266771.42</v>
      </c>
      <c r="F45" s="111">
        <f>SUM(F44)</f>
        <v>266725.42000000004</v>
      </c>
      <c r="G45" s="111">
        <f t="shared" ref="G45:K45" si="9">SUM(G44)</f>
        <v>840</v>
      </c>
      <c r="H45" s="111">
        <f t="shared" si="9"/>
        <v>835.75</v>
      </c>
      <c r="I45" s="111">
        <f t="shared" si="9"/>
        <v>4.25</v>
      </c>
      <c r="J45" s="111">
        <f t="shared" si="9"/>
        <v>64.48</v>
      </c>
      <c r="K45" s="111">
        <f t="shared" si="9"/>
        <v>2400</v>
      </c>
      <c r="L45" s="112"/>
      <c r="M45" s="121">
        <f>SUM(M44)</f>
        <v>630000</v>
      </c>
    </row>
    <row r="47" spans="2:13" x14ac:dyDescent="0.2">
      <c r="K47" s="2"/>
    </row>
    <row r="48" spans="2:13" x14ac:dyDescent="0.2">
      <c r="M48" s="2"/>
    </row>
  </sheetData>
  <mergeCells count="14">
    <mergeCell ref="F40:I41"/>
    <mergeCell ref="B38:M38"/>
    <mergeCell ref="B28:M28"/>
    <mergeCell ref="F30:K31"/>
    <mergeCell ref="B2:M2"/>
    <mergeCell ref="B16:M16"/>
    <mergeCell ref="D4:D5"/>
    <mergeCell ref="E9:E10"/>
    <mergeCell ref="L9:L10"/>
    <mergeCell ref="D18:D19"/>
    <mergeCell ref="M9:M10"/>
    <mergeCell ref="D9:D10"/>
    <mergeCell ref="F18:K19"/>
    <mergeCell ref="F4:K5"/>
  </mergeCells>
  <phoneticPr fontId="13" type="noConversion"/>
  <dataValidations count="2">
    <dataValidation type="list" allowBlank="1" showInputMessage="1" showErrorMessage="1" sqref="B5 B19 B31 B41" xr:uid="{AA397B1F-BB71-4D3E-B340-8AE4AF56CBC5}">
      <formula1>mois</formula1>
    </dataValidation>
    <dataValidation type="list" allowBlank="1" showInputMessage="1" showErrorMessage="1" sqref="C5 C19 C31 C41" xr:uid="{D275354F-3A37-4B83-86BA-FEB4268E77E7}">
      <formula1>année</formula1>
    </dataValidation>
  </dataValidations>
  <pageMargins left="0.7" right="0.7" top="0.75" bottom="0.75" header="0.3" footer="0.3"/>
  <pageSetup paperSize="8" scale="5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2CA90-7254-154C-911C-5D20466E5C50}">
  <sheetPr>
    <tabColor theme="8" tint="-0.499984740745262"/>
  </sheetPr>
  <dimension ref="C1:P210"/>
  <sheetViews>
    <sheetView topLeftCell="E27" zoomScaleNormal="100" workbookViewId="0">
      <selection activeCell="G45" sqref="G45:G188"/>
    </sheetView>
  </sheetViews>
  <sheetFormatPr baseColWidth="10" defaultRowHeight="16" x14ac:dyDescent="0.2"/>
  <cols>
    <col min="1" max="1" width="1" customWidth="1"/>
    <col min="2" max="2" width="0.83203125" customWidth="1"/>
    <col min="3" max="4" width="16" style="31" customWidth="1"/>
    <col min="5" max="9" width="39.6640625" customWidth="1"/>
    <col min="10" max="10" width="12.6640625" customWidth="1"/>
    <col min="11" max="16" width="12.6640625" hidden="1" customWidth="1"/>
    <col min="17" max="105" width="12.6640625" customWidth="1"/>
    <col min="106" max="119" width="15.6640625" customWidth="1"/>
    <col min="120" max="169" width="14.83203125" customWidth="1"/>
    <col min="170" max="188" width="12.5" customWidth="1"/>
    <col min="189" max="189" width="18.1640625" customWidth="1"/>
  </cols>
  <sheetData>
    <row r="1" spans="3:16" ht="4.5" customHeight="1" x14ac:dyDescent="0.2"/>
    <row r="2" spans="3:16" ht="61.5" customHeight="1" x14ac:dyDescent="0.2">
      <c r="C2" s="150" t="s">
        <v>61</v>
      </c>
      <c r="D2" s="150"/>
      <c r="E2" s="150"/>
      <c r="F2" s="150"/>
      <c r="G2" s="150"/>
      <c r="H2" s="150"/>
      <c r="I2" s="150"/>
    </row>
    <row r="3" spans="3:16" ht="3" customHeight="1" x14ac:dyDescent="0.2">
      <c r="C3" s="30"/>
    </row>
    <row r="4" spans="3:16" ht="28.5" customHeight="1" x14ac:dyDescent="0.2">
      <c r="C4" s="33" t="s">
        <v>28</v>
      </c>
      <c r="D4" s="34" t="s">
        <v>29</v>
      </c>
      <c r="E4" s="35" t="s">
        <v>4</v>
      </c>
      <c r="F4" s="35" t="s">
        <v>27</v>
      </c>
      <c r="G4" s="35" t="s">
        <v>86</v>
      </c>
      <c r="H4" s="35" t="s">
        <v>8</v>
      </c>
      <c r="I4" s="36" t="s">
        <v>9</v>
      </c>
    </row>
    <row r="5" spans="3:16" x14ac:dyDescent="0.2">
      <c r="C5" s="15" t="s">
        <v>30</v>
      </c>
      <c r="D5" s="32">
        <v>2022</v>
      </c>
      <c r="E5" s="10">
        <f>'Vision patrimoine'!$E8</f>
        <v>42620.35</v>
      </c>
      <c r="F5" s="10">
        <f>'Vision patrimoine'!$E9</f>
        <v>33327.18</v>
      </c>
      <c r="G5" s="10"/>
      <c r="H5" s="10">
        <f>'Vision patrimoine'!E11</f>
        <v>59906.01</v>
      </c>
      <c r="I5" s="11">
        <f>'Vision patrimoine'!E12</f>
        <v>98329.49</v>
      </c>
    </row>
    <row r="6" spans="3:16" x14ac:dyDescent="0.2">
      <c r="C6" s="15" t="s">
        <v>31</v>
      </c>
      <c r="D6" s="32">
        <v>2022</v>
      </c>
      <c r="E6" s="10">
        <f>E5-'Vision patrimoine'!$H$8</f>
        <v>42180.17</v>
      </c>
      <c r="F6" s="10">
        <f>F5-('Vision patrimoine'!$H$9+'Vision patrimoine'!$H$10)</f>
        <v>32977.18</v>
      </c>
      <c r="G6" s="10"/>
      <c r="H6" s="10">
        <f>H5-'Vision patrimoine'!$H$11</f>
        <v>59473.310000000005</v>
      </c>
      <c r="I6" s="11">
        <f>I5-'Vision patrimoine'!$H$12</f>
        <v>97700.200000000012</v>
      </c>
    </row>
    <row r="7" spans="3:16" x14ac:dyDescent="0.2">
      <c r="C7" s="15" t="s">
        <v>32</v>
      </c>
      <c r="D7" s="32">
        <v>2023</v>
      </c>
      <c r="E7" s="10">
        <f>E6-'Vision patrimoine'!$H$8</f>
        <v>41739.99</v>
      </c>
      <c r="F7" s="10">
        <f>F6-('Vision patrimoine'!$H$9+'Vision patrimoine'!$H$10)</f>
        <v>32627.18</v>
      </c>
      <c r="G7" s="10"/>
      <c r="H7" s="10">
        <f>H6-'Vision patrimoine'!$H$11</f>
        <v>59040.610000000008</v>
      </c>
      <c r="I7" s="11">
        <f>I6-'Vision patrimoine'!$H$12</f>
        <v>97070.910000000018</v>
      </c>
    </row>
    <row r="8" spans="3:16" x14ac:dyDescent="0.2">
      <c r="C8" s="15" t="s">
        <v>33</v>
      </c>
      <c r="D8" s="32">
        <v>2023</v>
      </c>
      <c r="E8" s="10">
        <f>E7-'Vision patrimoine'!$H$8</f>
        <v>41299.81</v>
      </c>
      <c r="F8" s="10">
        <f>F7-('Vision patrimoine'!$H$9+'Vision patrimoine'!$H$10)</f>
        <v>32277.18</v>
      </c>
      <c r="G8" s="10"/>
      <c r="H8" s="10">
        <f>H7-'Vision patrimoine'!$H$11</f>
        <v>58607.910000000011</v>
      </c>
      <c r="I8" s="11">
        <f>I7-'Vision patrimoine'!$H$12</f>
        <v>96441.620000000024</v>
      </c>
      <c r="K8" s="15" t="s">
        <v>36</v>
      </c>
    </row>
    <row r="9" spans="3:16" x14ac:dyDescent="0.2">
      <c r="C9" s="15" t="s">
        <v>34</v>
      </c>
      <c r="D9" s="32">
        <v>2023</v>
      </c>
      <c r="E9" s="10">
        <f>E8-'Vision patrimoine'!$H$8</f>
        <v>40859.629999999997</v>
      </c>
      <c r="F9" s="10">
        <f>F8-('Vision patrimoine'!$H$9+'Vision patrimoine'!$H$10)</f>
        <v>31927.18</v>
      </c>
      <c r="G9" s="10"/>
      <c r="H9" s="10">
        <f>H8-'Vision patrimoine'!$H$11</f>
        <v>58175.210000000014</v>
      </c>
      <c r="I9" s="11">
        <f>I8-'Vision patrimoine'!$H$12</f>
        <v>95812.330000000031</v>
      </c>
      <c r="K9" s="15">
        <v>2029</v>
      </c>
    </row>
    <row r="10" spans="3:16" ht="22" x14ac:dyDescent="0.2">
      <c r="C10" s="15" t="s">
        <v>35</v>
      </c>
      <c r="D10" s="32">
        <v>2023</v>
      </c>
      <c r="E10" s="10">
        <f>E9-'Vision patrimoine'!$H$8</f>
        <v>40419.449999999997</v>
      </c>
      <c r="F10" s="10">
        <f>F9-('Vision patrimoine'!$H$9+'Vision patrimoine'!$H$10)</f>
        <v>31577.18</v>
      </c>
      <c r="G10" s="10"/>
      <c r="H10" s="10">
        <f>H9-'Vision patrimoine'!$H$11</f>
        <v>57742.510000000017</v>
      </c>
      <c r="I10" s="11">
        <f>I9-'Vision patrimoine'!$H$12</f>
        <v>95183.040000000037</v>
      </c>
      <c r="K10" s="17" t="s">
        <v>4</v>
      </c>
      <c r="L10" s="17" t="s">
        <v>5</v>
      </c>
      <c r="M10" s="17" t="s">
        <v>27</v>
      </c>
      <c r="N10" s="17" t="s">
        <v>7</v>
      </c>
      <c r="O10" s="17" t="s">
        <v>8</v>
      </c>
      <c r="P10" s="17" t="s">
        <v>9</v>
      </c>
    </row>
    <row r="11" spans="3:16" x14ac:dyDescent="0.2">
      <c r="C11" s="15" t="s">
        <v>36</v>
      </c>
      <c r="D11" s="32">
        <v>2023</v>
      </c>
      <c r="E11" s="10">
        <f>E10-'Vision patrimoine'!$H$8</f>
        <v>39979.269999999997</v>
      </c>
      <c r="F11" s="10">
        <f>F10-('Vision patrimoine'!$H$9+'Vision patrimoine'!$H$10)</f>
        <v>31227.18</v>
      </c>
      <c r="G11" s="10"/>
      <c r="H11" s="10">
        <f>H10-'Vision patrimoine'!$H$11</f>
        <v>57309.810000000019</v>
      </c>
      <c r="I11" s="11">
        <f>I10-'Vision patrimoine'!$H$12</f>
        <v>94553.750000000044</v>
      </c>
      <c r="K11" s="16">
        <f t="array" ref="K11">INDEX($E$5:$I$191,MATCH(1,($C$5:$C$191=$K$8)*($D$5:$D$191=$K$9),0),1)</f>
        <v>8286.3099999999758</v>
      </c>
      <c r="L11" s="16">
        <f t="array" ref="L11">INDEX($E$5:$I$191,MATCH(1,($C$5:$C$191=$K$8)*($D$5:$D$191=$K$9),0),2)</f>
        <v>6027.18</v>
      </c>
      <c r="M11" s="16">
        <f t="array" ref="M11">INDEX($E$5:$I$191,MATCH(1,($C$5:$C$191=$K$8)*($D$5:$D$191=$K$9),0),3)</f>
        <v>53348.179999999978</v>
      </c>
      <c r="N11" s="16">
        <f t="array" ref="N11">INDEX($E$5:$I$191,MATCH(1,($C$5:$C$191=$K$8)*($D$5:$D$191=$K$9),0),4)</f>
        <v>26155.410000000171</v>
      </c>
      <c r="O11" s="16">
        <f t="array" ref="O11">INDEX($E$5:$I$191,MATCH(1,($C$5:$C$191=$K$8)*($D$5:$D$191=$K$9),0),5)</f>
        <v>49244.870000000315</v>
      </c>
      <c r="P11" s="16" t="e">
        <f t="array" ref="P11">INDEX($E$5:$I$191,MATCH(1,($C$5:$C$191=$K$8)*($D$5:$D$191=$K$9),0),6)</f>
        <v>#REF!</v>
      </c>
    </row>
    <row r="12" spans="3:16" x14ac:dyDescent="0.2">
      <c r="C12" s="15" t="s">
        <v>37</v>
      </c>
      <c r="D12" s="32">
        <v>2023</v>
      </c>
      <c r="E12" s="10">
        <f>E11-'Vision patrimoine'!$H$8</f>
        <v>39539.089999999997</v>
      </c>
      <c r="F12" s="10">
        <f>F11-('Vision patrimoine'!$H$9+'Vision patrimoine'!$H$10)</f>
        <v>30877.18</v>
      </c>
      <c r="G12" s="10"/>
      <c r="H12" s="10">
        <f>H11-'Vision patrimoine'!$H$11</f>
        <v>56877.110000000022</v>
      </c>
      <c r="I12" s="11">
        <f>I11-'Vision patrimoine'!$H$12</f>
        <v>93924.46000000005</v>
      </c>
    </row>
    <row r="13" spans="3:16" x14ac:dyDescent="0.2">
      <c r="C13" s="15" t="s">
        <v>38</v>
      </c>
      <c r="D13" s="32">
        <v>2023</v>
      </c>
      <c r="E13" s="10">
        <f>E12-'Vision patrimoine'!$H$8</f>
        <v>39098.909999999996</v>
      </c>
      <c r="F13" s="10">
        <f>F12-('Vision patrimoine'!$H$9+'Vision patrimoine'!$H$10)</f>
        <v>30527.18</v>
      </c>
      <c r="G13" s="10"/>
      <c r="H13" s="10">
        <f>H12-'Vision patrimoine'!$H$11</f>
        <v>56444.410000000025</v>
      </c>
      <c r="I13" s="11">
        <f>I12-'Vision patrimoine'!$H$12</f>
        <v>93295.170000000056</v>
      </c>
      <c r="K13">
        <f t="array" ref="K13">MATCH(1,($C$5:$C$191=$K$8)*($D$5:$D$191=$K$9),0)</f>
        <v>79</v>
      </c>
    </row>
    <row r="14" spans="3:16" x14ac:dyDescent="0.2">
      <c r="C14" s="15" t="s">
        <v>39</v>
      </c>
      <c r="D14" s="32">
        <v>2023</v>
      </c>
      <c r="E14" s="10">
        <f>E13-'Vision patrimoine'!$H$8</f>
        <v>38658.729999999996</v>
      </c>
      <c r="F14" s="10">
        <f>F13-('Vision patrimoine'!$H$9+'Vision patrimoine'!$H$10)</f>
        <v>30177.18</v>
      </c>
      <c r="G14" s="10"/>
      <c r="H14" s="10">
        <f>H13-'Vision patrimoine'!$H$11</f>
        <v>56011.710000000028</v>
      </c>
      <c r="I14" s="11">
        <f>I13-'Vision patrimoine'!$H$12</f>
        <v>92665.880000000063</v>
      </c>
    </row>
    <row r="15" spans="3:16" x14ac:dyDescent="0.2">
      <c r="C15" s="15" t="s">
        <v>40</v>
      </c>
      <c r="D15" s="32">
        <v>2023</v>
      </c>
      <c r="E15" s="10">
        <f>E14-'Vision patrimoine'!$H$8</f>
        <v>38218.549999999996</v>
      </c>
      <c r="F15" s="10">
        <f>F14-('Vision patrimoine'!$H$9+'Vision patrimoine'!$H$10)</f>
        <v>29827.18</v>
      </c>
      <c r="G15" s="10"/>
      <c r="H15" s="10">
        <f>H14-'Vision patrimoine'!$H$11</f>
        <v>55579.010000000031</v>
      </c>
      <c r="I15" s="11">
        <f>I14-'Vision patrimoine'!$H$12</f>
        <v>92036.590000000069</v>
      </c>
    </row>
    <row r="16" spans="3:16" x14ac:dyDescent="0.2">
      <c r="C16" s="15" t="s">
        <v>41</v>
      </c>
      <c r="D16" s="32">
        <v>2023</v>
      </c>
      <c r="E16" s="10">
        <f>E15-'Vision patrimoine'!$H$8</f>
        <v>37778.369999999995</v>
      </c>
      <c r="F16" s="10">
        <f>F15-('Vision patrimoine'!$H$9+'Vision patrimoine'!$H$10)</f>
        <v>29477.18</v>
      </c>
      <c r="G16" s="10"/>
      <c r="H16" s="10">
        <f>H15-'Vision patrimoine'!$H$11</f>
        <v>55146.310000000034</v>
      </c>
      <c r="I16" s="11">
        <f>I15-'Vision patrimoine'!$H$12</f>
        <v>91407.300000000076</v>
      </c>
    </row>
    <row r="17" spans="3:9" x14ac:dyDescent="0.2">
      <c r="C17" s="15" t="s">
        <v>30</v>
      </c>
      <c r="D17" s="32">
        <v>2023</v>
      </c>
      <c r="E17" s="10">
        <f>E16-'Vision patrimoine'!$H$8</f>
        <v>37338.189999999995</v>
      </c>
      <c r="F17" s="10">
        <f>F16-('Vision patrimoine'!$H$9+'Vision patrimoine'!$H$10)</f>
        <v>29127.18</v>
      </c>
      <c r="G17" s="10"/>
      <c r="H17" s="10">
        <f>H16-'Vision patrimoine'!$H$11</f>
        <v>54713.610000000037</v>
      </c>
      <c r="I17" s="11">
        <f>I16-'Vision patrimoine'!$H$12</f>
        <v>90778.010000000082</v>
      </c>
    </row>
    <row r="18" spans="3:9" x14ac:dyDescent="0.2">
      <c r="C18" s="15" t="s">
        <v>31</v>
      </c>
      <c r="D18" s="32">
        <v>2023</v>
      </c>
      <c r="E18" s="10">
        <f>E17-'Vision patrimoine'!$H$8</f>
        <v>36898.009999999995</v>
      </c>
      <c r="F18" s="10">
        <f>F17-('Vision patrimoine'!$H$9+'Vision patrimoine'!$H$10)</f>
        <v>28777.18</v>
      </c>
      <c r="G18" s="10"/>
      <c r="H18" s="10">
        <f>H17-'Vision patrimoine'!$H$11</f>
        <v>54280.91000000004</v>
      </c>
      <c r="I18" s="11">
        <f>I17-'Vision patrimoine'!$H$12</f>
        <v>90148.720000000088</v>
      </c>
    </row>
    <row r="19" spans="3:9" x14ac:dyDescent="0.2">
      <c r="C19" s="15" t="s">
        <v>32</v>
      </c>
      <c r="D19" s="32">
        <v>2024</v>
      </c>
      <c r="E19" s="10">
        <f>E18-'Vision patrimoine'!$H$8</f>
        <v>36457.829999999994</v>
      </c>
      <c r="F19" s="10">
        <f>F18-('Vision patrimoine'!$H$9+'Vision patrimoine'!$H$10)</f>
        <v>28427.18</v>
      </c>
      <c r="G19" s="10"/>
      <c r="H19" s="10">
        <f>H18-'Vision patrimoine'!$H$11</f>
        <v>53848.210000000043</v>
      </c>
      <c r="I19" s="11">
        <f>I18-'Vision patrimoine'!$H$12</f>
        <v>89519.430000000095</v>
      </c>
    </row>
    <row r="20" spans="3:9" x14ac:dyDescent="0.2">
      <c r="C20" s="15" t="s">
        <v>33</v>
      </c>
      <c r="D20" s="32">
        <v>2024</v>
      </c>
      <c r="E20" s="10">
        <f>E19-'Vision patrimoine'!$H$8</f>
        <v>36017.649999999994</v>
      </c>
      <c r="F20" s="10">
        <f>F19-('Vision patrimoine'!$H$9+'Vision patrimoine'!$H$10)</f>
        <v>28077.18</v>
      </c>
      <c r="G20" s="10"/>
      <c r="H20" s="10">
        <f>H19-'Vision patrimoine'!$H$11</f>
        <v>53415.510000000046</v>
      </c>
      <c r="I20" s="11">
        <f>I19-'Vision patrimoine'!$H$12</f>
        <v>88890.140000000101</v>
      </c>
    </row>
    <row r="21" spans="3:9" x14ac:dyDescent="0.2">
      <c r="C21" s="15" t="s">
        <v>34</v>
      </c>
      <c r="D21" s="32">
        <v>2024</v>
      </c>
      <c r="E21" s="10">
        <f>E20-'Vision patrimoine'!$H$8</f>
        <v>35577.469999999994</v>
      </c>
      <c r="F21" s="10">
        <f>F20-('Vision patrimoine'!$H$9+'Vision patrimoine'!$H$10)</f>
        <v>27727.18</v>
      </c>
      <c r="G21" s="10"/>
      <c r="H21" s="10">
        <f>H20-'Vision patrimoine'!$H$11</f>
        <v>52982.810000000049</v>
      </c>
      <c r="I21" s="11">
        <f>I20-'Vision patrimoine'!$H$12</f>
        <v>88260.850000000108</v>
      </c>
    </row>
    <row r="22" spans="3:9" x14ac:dyDescent="0.2">
      <c r="C22" s="15" t="s">
        <v>35</v>
      </c>
      <c r="D22" s="32">
        <v>2024</v>
      </c>
      <c r="E22" s="10">
        <f>E21-'Vision patrimoine'!$H$8</f>
        <v>35137.289999999994</v>
      </c>
      <c r="F22" s="10">
        <f>F21-('Vision patrimoine'!$H$9+'Vision patrimoine'!$H$10)</f>
        <v>27377.18</v>
      </c>
      <c r="G22" s="10"/>
      <c r="H22" s="10">
        <f>H21-'Vision patrimoine'!$H$11</f>
        <v>52550.110000000052</v>
      </c>
      <c r="I22" s="11">
        <f>I21-'Vision patrimoine'!$H$12</f>
        <v>87631.560000000114</v>
      </c>
    </row>
    <row r="23" spans="3:9" x14ac:dyDescent="0.2">
      <c r="C23" s="15" t="s">
        <v>36</v>
      </c>
      <c r="D23" s="32">
        <v>2024</v>
      </c>
      <c r="E23" s="10">
        <f>E22-'Vision patrimoine'!$H$8</f>
        <v>34697.109999999993</v>
      </c>
      <c r="F23" s="10">
        <f>F22-('Vision patrimoine'!$H$9+'Vision patrimoine'!$H$10)</f>
        <v>27027.18</v>
      </c>
      <c r="G23" s="10"/>
      <c r="H23" s="10">
        <f>H22-'Vision patrimoine'!$H$11</f>
        <v>52117.410000000054</v>
      </c>
      <c r="I23" s="11">
        <f>I22-'Vision patrimoine'!$H$12</f>
        <v>87002.27000000012</v>
      </c>
    </row>
    <row r="24" spans="3:9" x14ac:dyDescent="0.2">
      <c r="C24" s="15" t="s">
        <v>37</v>
      </c>
      <c r="D24" s="32">
        <v>2024</v>
      </c>
      <c r="E24" s="10">
        <f>E23-'Vision patrimoine'!$H$8</f>
        <v>34256.929999999993</v>
      </c>
      <c r="F24" s="10">
        <f>F23-('Vision patrimoine'!$H$9+'Vision patrimoine'!$H$10)</f>
        <v>26677.18</v>
      </c>
      <c r="G24" s="10"/>
      <c r="H24" s="10">
        <f>H23-'Vision patrimoine'!$H$11</f>
        <v>51684.710000000057</v>
      </c>
      <c r="I24" s="11">
        <f>I23-'Vision patrimoine'!$H$12</f>
        <v>86372.980000000127</v>
      </c>
    </row>
    <row r="25" spans="3:9" x14ac:dyDescent="0.2">
      <c r="C25" s="15" t="s">
        <v>38</v>
      </c>
      <c r="D25" s="32">
        <v>2024</v>
      </c>
      <c r="E25" s="10">
        <f>E24-'Vision patrimoine'!$H$8</f>
        <v>33816.749999999993</v>
      </c>
      <c r="F25" s="10">
        <f>F24-('Vision patrimoine'!$H$9+'Vision patrimoine'!$H$10)</f>
        <v>26327.18</v>
      </c>
      <c r="G25" s="10"/>
      <c r="H25" s="10">
        <f>H24-'Vision patrimoine'!$H$11</f>
        <v>51252.01000000006</v>
      </c>
      <c r="I25" s="11">
        <f>I24-'Vision patrimoine'!$H$12</f>
        <v>85743.690000000133</v>
      </c>
    </row>
    <row r="26" spans="3:9" x14ac:dyDescent="0.2">
      <c r="C26" s="15" t="s">
        <v>39</v>
      </c>
      <c r="D26" s="32">
        <v>2024</v>
      </c>
      <c r="E26" s="10">
        <f>E25-'Vision patrimoine'!$H$8</f>
        <v>33376.569999999992</v>
      </c>
      <c r="F26" s="10">
        <f>F25-('Vision patrimoine'!$H$9+'Vision patrimoine'!$H$10)</f>
        <v>25977.18</v>
      </c>
      <c r="G26" s="10"/>
      <c r="H26" s="10">
        <f>H25-'Vision patrimoine'!$H$11</f>
        <v>50819.310000000063</v>
      </c>
      <c r="I26" s="11">
        <f>I25-'Vision patrimoine'!$H$12</f>
        <v>85114.40000000014</v>
      </c>
    </row>
    <row r="27" spans="3:9" x14ac:dyDescent="0.2">
      <c r="C27" s="15" t="s">
        <v>40</v>
      </c>
      <c r="D27" s="32">
        <v>2024</v>
      </c>
      <c r="E27" s="10">
        <f>E26-'Vision patrimoine'!$H$8</f>
        <v>32936.389999999992</v>
      </c>
      <c r="F27" s="10">
        <f>F26-('Vision patrimoine'!$H$9+'Vision patrimoine'!$H$10)</f>
        <v>25627.18</v>
      </c>
      <c r="G27" s="10"/>
      <c r="H27" s="10">
        <f>H26-'Vision patrimoine'!$H$11</f>
        <v>50386.610000000066</v>
      </c>
      <c r="I27" s="11">
        <f>I26-'Vision patrimoine'!$H$12</f>
        <v>84485.110000000146</v>
      </c>
    </row>
    <row r="28" spans="3:9" x14ac:dyDescent="0.2">
      <c r="C28" s="15" t="s">
        <v>41</v>
      </c>
      <c r="D28" s="32">
        <v>2024</v>
      </c>
      <c r="E28" s="10">
        <f>E27-'Vision patrimoine'!$H$8</f>
        <v>32496.209999999992</v>
      </c>
      <c r="F28" s="10">
        <f>F27-('Vision patrimoine'!$H$9+'Vision patrimoine'!$H$10)</f>
        <v>25277.18</v>
      </c>
      <c r="G28" s="10"/>
      <c r="H28" s="10">
        <f>H27-'Vision patrimoine'!$H$11</f>
        <v>49953.910000000069</v>
      </c>
      <c r="I28" s="11">
        <f>I27-'Vision patrimoine'!$H$12</f>
        <v>83855.820000000153</v>
      </c>
    </row>
    <row r="29" spans="3:9" x14ac:dyDescent="0.2">
      <c r="C29" s="15" t="s">
        <v>30</v>
      </c>
      <c r="D29" s="32">
        <v>2024</v>
      </c>
      <c r="E29" s="10">
        <f>E28-'Vision patrimoine'!$H$8</f>
        <v>32056.029999999992</v>
      </c>
      <c r="F29" s="10">
        <f>F28-('Vision patrimoine'!$H$9+'Vision patrimoine'!$H$10)</f>
        <v>24927.18</v>
      </c>
      <c r="G29" s="10"/>
      <c r="H29" s="10">
        <f>H28-'Vision patrimoine'!$H$11</f>
        <v>49521.210000000072</v>
      </c>
      <c r="I29" s="11">
        <f>I28-'Vision patrimoine'!$H$12</f>
        <v>83226.530000000159</v>
      </c>
    </row>
    <row r="30" spans="3:9" x14ac:dyDescent="0.2">
      <c r="C30" s="15" t="s">
        <v>31</v>
      </c>
      <c r="D30" s="32">
        <v>2024</v>
      </c>
      <c r="E30" s="10">
        <f>E29-'Vision patrimoine'!$H$8</f>
        <v>31615.849999999991</v>
      </c>
      <c r="F30" s="10">
        <f>F29-('Vision patrimoine'!$H$9+'Vision patrimoine'!$H$10)</f>
        <v>24577.18</v>
      </c>
      <c r="G30" s="10"/>
      <c r="H30" s="10">
        <f>H29-'Vision patrimoine'!$H$11</f>
        <v>49088.510000000075</v>
      </c>
      <c r="I30" s="11">
        <f>I29-'Vision patrimoine'!$H$12</f>
        <v>82597.240000000165</v>
      </c>
    </row>
    <row r="31" spans="3:9" x14ac:dyDescent="0.2">
      <c r="C31" s="15" t="s">
        <v>32</v>
      </c>
      <c r="D31" s="32">
        <v>2025</v>
      </c>
      <c r="E31" s="10">
        <f>E30-'Vision patrimoine'!$H$8</f>
        <v>31175.669999999991</v>
      </c>
      <c r="F31" s="10">
        <f>F30-('Vision patrimoine'!$H$9+'Vision patrimoine'!$H$10)</f>
        <v>24227.18</v>
      </c>
      <c r="G31" s="10"/>
      <c r="H31" s="10">
        <f>H30-'Vision patrimoine'!$H$11</f>
        <v>48655.810000000078</v>
      </c>
      <c r="I31" s="11">
        <f>I30-'Vision patrimoine'!$H$12</f>
        <v>81967.950000000172</v>
      </c>
    </row>
    <row r="32" spans="3:9" x14ac:dyDescent="0.2">
      <c r="C32" s="15" t="s">
        <v>33</v>
      </c>
      <c r="D32" s="32">
        <v>2025</v>
      </c>
      <c r="E32" s="10">
        <f>E31-'Vision patrimoine'!$H$8</f>
        <v>30735.489999999991</v>
      </c>
      <c r="F32" s="10">
        <f>F31-('Vision patrimoine'!$H$9+'Vision patrimoine'!$H$10)</f>
        <v>23877.18</v>
      </c>
      <c r="G32" s="10"/>
      <c r="H32" s="10">
        <f>H31-'Vision patrimoine'!$H$11</f>
        <v>48223.110000000081</v>
      </c>
      <c r="I32" s="11">
        <f>I31-'Vision patrimoine'!$H$12</f>
        <v>81338.660000000178</v>
      </c>
    </row>
    <row r="33" spans="3:9" x14ac:dyDescent="0.2">
      <c r="C33" s="15" t="s">
        <v>34</v>
      </c>
      <c r="D33" s="32">
        <v>2025</v>
      </c>
      <c r="E33" s="10">
        <f>E32-'Vision patrimoine'!$H$8</f>
        <v>30295.30999999999</v>
      </c>
      <c r="F33" s="10">
        <f>F32-('Vision patrimoine'!$H$9+'Vision patrimoine'!$H$10)</f>
        <v>23527.18</v>
      </c>
      <c r="G33" s="10"/>
      <c r="H33" s="10">
        <f>H32-'Vision patrimoine'!$H$11</f>
        <v>47790.410000000084</v>
      </c>
      <c r="I33" s="11">
        <f>I32-'Vision patrimoine'!$H$12</f>
        <v>80709.370000000185</v>
      </c>
    </row>
    <row r="34" spans="3:9" x14ac:dyDescent="0.2">
      <c r="C34" s="15" t="s">
        <v>35</v>
      </c>
      <c r="D34" s="32">
        <v>2025</v>
      </c>
      <c r="E34" s="10">
        <f>E33-'Vision patrimoine'!$H$8</f>
        <v>29855.12999999999</v>
      </c>
      <c r="F34" s="10">
        <f>F33-('Vision patrimoine'!$H$9+'Vision patrimoine'!$H$10)</f>
        <v>23177.18</v>
      </c>
      <c r="G34" s="10"/>
      <c r="H34" s="10">
        <f>H33-'Vision patrimoine'!$H$11</f>
        <v>47357.710000000086</v>
      </c>
      <c r="I34" s="11">
        <f>I33-'Vision patrimoine'!$H$12</f>
        <v>80080.080000000191</v>
      </c>
    </row>
    <row r="35" spans="3:9" x14ac:dyDescent="0.2">
      <c r="C35" s="15" t="s">
        <v>36</v>
      </c>
      <c r="D35" s="32">
        <v>2025</v>
      </c>
      <c r="E35" s="10">
        <f>E34-'Vision patrimoine'!$H$8</f>
        <v>29414.94999999999</v>
      </c>
      <c r="F35" s="10">
        <f>F34-('Vision patrimoine'!$H$9+'Vision patrimoine'!$H$10)</f>
        <v>22827.18</v>
      </c>
      <c r="G35" s="10"/>
      <c r="H35" s="10">
        <f>H34-'Vision patrimoine'!$H$11</f>
        <v>46925.010000000089</v>
      </c>
      <c r="I35" s="11">
        <f>I34-'Vision patrimoine'!$H$12</f>
        <v>79450.790000000197</v>
      </c>
    </row>
    <row r="36" spans="3:9" x14ac:dyDescent="0.2">
      <c r="C36" s="15" t="s">
        <v>37</v>
      </c>
      <c r="D36" s="32">
        <v>2025</v>
      </c>
      <c r="E36" s="10">
        <f>E35-'Vision patrimoine'!$H$8</f>
        <v>28974.76999999999</v>
      </c>
      <c r="F36" s="10">
        <f>F35-('Vision patrimoine'!$H$9+'Vision patrimoine'!$H$10)</f>
        <v>22477.18</v>
      </c>
      <c r="G36" s="10"/>
      <c r="H36" s="10">
        <f>H35-'Vision patrimoine'!$H$11</f>
        <v>46492.310000000092</v>
      </c>
      <c r="I36" s="11">
        <f>I35-'Vision patrimoine'!$H$12</f>
        <v>78821.500000000204</v>
      </c>
    </row>
    <row r="37" spans="3:9" x14ac:dyDescent="0.2">
      <c r="C37" s="15" t="s">
        <v>38</v>
      </c>
      <c r="D37" s="32">
        <v>2025</v>
      </c>
      <c r="E37" s="10">
        <f>E36-'Vision patrimoine'!$H$8</f>
        <v>28534.589999999989</v>
      </c>
      <c r="F37" s="10">
        <f>F36-('Vision patrimoine'!$H$9+'Vision patrimoine'!$H$10)</f>
        <v>22127.18</v>
      </c>
      <c r="G37" s="10"/>
      <c r="H37" s="10">
        <f>H36-'Vision patrimoine'!$H$11</f>
        <v>46059.610000000095</v>
      </c>
      <c r="I37" s="11">
        <f>I36-'Vision patrimoine'!$H$12</f>
        <v>78192.21000000021</v>
      </c>
    </row>
    <row r="38" spans="3:9" x14ac:dyDescent="0.2">
      <c r="C38" s="15" t="s">
        <v>39</v>
      </c>
      <c r="D38" s="32">
        <v>2025</v>
      </c>
      <c r="E38" s="10">
        <f>E37-'Vision patrimoine'!$H$8</f>
        <v>28094.409999999989</v>
      </c>
      <c r="F38" s="10">
        <f>F37-('Vision patrimoine'!$H$9+'Vision patrimoine'!$H$10)</f>
        <v>21777.18</v>
      </c>
      <c r="G38" s="10"/>
      <c r="H38" s="10">
        <f>H37-'Vision patrimoine'!$H$11</f>
        <v>45626.910000000098</v>
      </c>
      <c r="I38" s="11">
        <f>I37-'Vision patrimoine'!$H$12</f>
        <v>77562.920000000217</v>
      </c>
    </row>
    <row r="39" spans="3:9" x14ac:dyDescent="0.2">
      <c r="C39" s="15" t="s">
        <v>40</v>
      </c>
      <c r="D39" s="32">
        <v>2025</v>
      </c>
      <c r="E39" s="10">
        <f>E38-'Vision patrimoine'!$H$8</f>
        <v>27654.229999999989</v>
      </c>
      <c r="F39" s="10">
        <f>F38-('Vision patrimoine'!$H$9+'Vision patrimoine'!$H$10)</f>
        <v>21427.18</v>
      </c>
      <c r="G39" s="10"/>
      <c r="H39" s="10">
        <f>H38-'Vision patrimoine'!$H$11</f>
        <v>45194.210000000101</v>
      </c>
      <c r="I39" s="11">
        <f>I38-'Vision patrimoine'!$H$12</f>
        <v>76933.630000000223</v>
      </c>
    </row>
    <row r="40" spans="3:9" x14ac:dyDescent="0.2">
      <c r="C40" s="15" t="s">
        <v>41</v>
      </c>
      <c r="D40" s="32">
        <v>2025</v>
      </c>
      <c r="E40" s="10">
        <f>E39-'Vision patrimoine'!$H$8</f>
        <v>27214.049999999988</v>
      </c>
      <c r="F40" s="10">
        <f>F39-('Vision patrimoine'!$H$9+'Vision patrimoine'!$H$10)</f>
        <v>21077.18</v>
      </c>
      <c r="G40" s="10"/>
      <c r="H40" s="10">
        <f>H39-'Vision patrimoine'!$H$11</f>
        <v>44761.510000000104</v>
      </c>
      <c r="I40" s="11">
        <f>I39-'Vision patrimoine'!$H$12</f>
        <v>76304.340000000229</v>
      </c>
    </row>
    <row r="41" spans="3:9" x14ac:dyDescent="0.2">
      <c r="C41" s="15" t="s">
        <v>30</v>
      </c>
      <c r="D41" s="32">
        <v>2025</v>
      </c>
      <c r="E41" s="10">
        <f>E40-'Vision patrimoine'!$H$8</f>
        <v>26773.869999999988</v>
      </c>
      <c r="F41" s="10">
        <f>F40-('Vision patrimoine'!$H$9+'Vision patrimoine'!$H$10)</f>
        <v>20727.18</v>
      </c>
      <c r="G41" s="10"/>
      <c r="H41" s="10">
        <f>H40-'Vision patrimoine'!$H$11</f>
        <v>44328.810000000107</v>
      </c>
      <c r="I41" s="11">
        <f>I40-'Vision patrimoine'!$H$12</f>
        <v>75675.050000000236</v>
      </c>
    </row>
    <row r="42" spans="3:9" x14ac:dyDescent="0.2">
      <c r="C42" s="15" t="s">
        <v>31</v>
      </c>
      <c r="D42" s="32">
        <v>2025</v>
      </c>
      <c r="E42" s="10">
        <f>E41-'Vision patrimoine'!$H$8</f>
        <v>26333.689999999988</v>
      </c>
      <c r="F42" s="10">
        <f>F41-('Vision patrimoine'!$H$9+'Vision patrimoine'!$H$10)</f>
        <v>20377.18</v>
      </c>
      <c r="G42" s="10"/>
      <c r="H42" s="10">
        <f>H41-'Vision patrimoine'!$H$11</f>
        <v>43896.11000000011</v>
      </c>
      <c r="I42" s="11">
        <f>I41-'Vision patrimoine'!$H$12</f>
        <v>75045.760000000242</v>
      </c>
    </row>
    <row r="43" spans="3:9" x14ac:dyDescent="0.2">
      <c r="C43" s="15" t="s">
        <v>32</v>
      </c>
      <c r="D43" s="32">
        <v>2026</v>
      </c>
      <c r="E43" s="10">
        <f>E42-'Vision patrimoine'!$H$8</f>
        <v>25893.509999999987</v>
      </c>
      <c r="F43" s="10">
        <f>F42-('Vision patrimoine'!$H$9+'Vision patrimoine'!$H$10)</f>
        <v>20027.18</v>
      </c>
      <c r="G43" s="10"/>
      <c r="H43" s="10">
        <f>H42-'Vision patrimoine'!$H$11</f>
        <v>43463.410000000113</v>
      </c>
      <c r="I43" s="11">
        <f>I42-'Vision patrimoine'!$H$12</f>
        <v>74416.470000000249</v>
      </c>
    </row>
    <row r="44" spans="3:9" x14ac:dyDescent="0.2">
      <c r="C44" s="15" t="s">
        <v>33</v>
      </c>
      <c r="D44" s="32">
        <v>2026</v>
      </c>
      <c r="E44" s="10">
        <f>E43-'Vision patrimoine'!$H$8</f>
        <v>25453.329999999987</v>
      </c>
      <c r="F44" s="10">
        <f>F43-('Vision patrimoine'!$H$9+'Vision patrimoine'!$H$10)</f>
        <v>19677.18</v>
      </c>
      <c r="G44" s="10"/>
      <c r="H44" s="10">
        <f>H43-'Vision patrimoine'!$H$11</f>
        <v>43030.710000000116</v>
      </c>
      <c r="I44" s="11">
        <f>I43-'Vision patrimoine'!$H$12</f>
        <v>73787.180000000255</v>
      </c>
    </row>
    <row r="45" spans="3:9" x14ac:dyDescent="0.2">
      <c r="C45" s="15" t="s">
        <v>34</v>
      </c>
      <c r="D45" s="32">
        <v>2026</v>
      </c>
      <c r="E45" s="10">
        <f>E44-'Vision patrimoine'!$H$8</f>
        <v>25013.149999999987</v>
      </c>
      <c r="F45" s="10">
        <f>F44-('Vision patrimoine'!$H$9+'Vision patrimoine'!$H$10)</f>
        <v>19327.18</v>
      </c>
      <c r="G45" s="104">
        <f>'Bd liberation Beneduc'!D5</f>
        <v>68990</v>
      </c>
      <c r="H45" s="10">
        <f>H44-'Vision patrimoine'!$H$11</f>
        <v>42598.010000000118</v>
      </c>
      <c r="I45" s="11">
        <f>I44-'Vision patrimoine'!$H$12</f>
        <v>73157.890000000261</v>
      </c>
    </row>
    <row r="46" spans="3:9" x14ac:dyDescent="0.2">
      <c r="C46" s="15" t="s">
        <v>35</v>
      </c>
      <c r="D46" s="32">
        <v>2026</v>
      </c>
      <c r="E46" s="10">
        <f>E45-'Vision patrimoine'!$H$8</f>
        <v>24572.969999999987</v>
      </c>
      <c r="F46" s="10">
        <f>F45-('Vision patrimoine'!$H$9+'Vision patrimoine'!$H$10)</f>
        <v>18977.18</v>
      </c>
      <c r="G46" s="104">
        <f>'Bd liberation Beneduc'!D6</f>
        <v>68598.87</v>
      </c>
      <c r="H46" s="10">
        <f>H45-'Vision patrimoine'!$H$11</f>
        <v>42165.310000000121</v>
      </c>
      <c r="I46" s="11">
        <f>I45-'Vision patrimoine'!$H$12</f>
        <v>72528.600000000268</v>
      </c>
    </row>
    <row r="47" spans="3:9" x14ac:dyDescent="0.2">
      <c r="C47" s="15" t="s">
        <v>36</v>
      </c>
      <c r="D47" s="32">
        <v>2026</v>
      </c>
      <c r="E47" s="10">
        <f>E46-'Vision patrimoine'!$H$8</f>
        <v>24132.789999999986</v>
      </c>
      <c r="F47" s="10">
        <f>F46-('Vision patrimoine'!$H$9+'Vision patrimoine'!$H$10)</f>
        <v>18627.18</v>
      </c>
      <c r="G47" s="104">
        <f>'Bd liberation Beneduc'!D7</f>
        <v>68207.739999999991</v>
      </c>
      <c r="H47" s="10">
        <f>H46-'Vision patrimoine'!$H$11</f>
        <v>41732.610000000124</v>
      </c>
      <c r="I47" s="11">
        <f>I46-'Vision patrimoine'!$H$12</f>
        <v>71899.310000000274</v>
      </c>
    </row>
    <row r="48" spans="3:9" x14ac:dyDescent="0.2">
      <c r="C48" s="15" t="s">
        <v>37</v>
      </c>
      <c r="D48" s="32">
        <v>2026</v>
      </c>
      <c r="E48" s="10">
        <f>E47-'Vision patrimoine'!$H$8</f>
        <v>23692.609999999986</v>
      </c>
      <c r="F48" s="10">
        <f>F47-('Vision patrimoine'!$H$9+'Vision patrimoine'!$H$10)</f>
        <v>18277.18</v>
      </c>
      <c r="G48" s="104">
        <f>'Bd liberation Beneduc'!D8</f>
        <v>67814.459999999992</v>
      </c>
      <c r="H48" s="10">
        <f>H47-'Vision patrimoine'!$H$11</f>
        <v>41299.910000000127</v>
      </c>
      <c r="I48" s="11">
        <f>I47-'Vision patrimoine'!$H$12</f>
        <v>71270.020000000281</v>
      </c>
    </row>
    <row r="49" spans="3:9" x14ac:dyDescent="0.2">
      <c r="C49" s="15" t="s">
        <v>38</v>
      </c>
      <c r="D49" s="32">
        <v>2026</v>
      </c>
      <c r="E49" s="10">
        <f>E48-'Vision patrimoine'!$H$8</f>
        <v>23252.429999999986</v>
      </c>
      <c r="F49" s="10">
        <f>F48-('Vision patrimoine'!$H$9+'Vision patrimoine'!$H$10)</f>
        <v>17927.18</v>
      </c>
      <c r="G49" s="104">
        <f>'Bd liberation Beneduc'!D9</f>
        <v>67420.099999999991</v>
      </c>
      <c r="H49" s="10">
        <f>H48-'Vision patrimoine'!$H$11</f>
        <v>40867.21000000013</v>
      </c>
      <c r="I49" s="11">
        <f>I48-'Vision patrimoine'!$H$12</f>
        <v>70640.730000000287</v>
      </c>
    </row>
    <row r="50" spans="3:9" x14ac:dyDescent="0.2">
      <c r="C50" s="15" t="s">
        <v>39</v>
      </c>
      <c r="D50" s="32">
        <v>2026</v>
      </c>
      <c r="E50" s="10">
        <f>E49-'Vision patrimoine'!$H$8</f>
        <v>22812.249999999985</v>
      </c>
      <c r="F50" s="10">
        <f>F49-('Vision patrimoine'!$H$9+'Vision patrimoine'!$H$10)</f>
        <v>17577.18</v>
      </c>
      <c r="G50" s="104">
        <f>'Bd liberation Beneduc'!D10</f>
        <v>67024.659999999989</v>
      </c>
      <c r="H50" s="10">
        <f>H49-'Vision patrimoine'!$H$11</f>
        <v>40434.510000000133</v>
      </c>
      <c r="I50" s="11">
        <f>I49-'Vision patrimoine'!$H$12</f>
        <v>70011.440000000293</v>
      </c>
    </row>
    <row r="51" spans="3:9" x14ac:dyDescent="0.2">
      <c r="C51" s="15" t="s">
        <v>40</v>
      </c>
      <c r="D51" s="32">
        <v>2026</v>
      </c>
      <c r="E51" s="10">
        <f>E50-'Vision patrimoine'!$H$8</f>
        <v>22372.069999999985</v>
      </c>
      <c r="F51" s="10">
        <f>F50-('Vision patrimoine'!$H$9+'Vision patrimoine'!$H$10)</f>
        <v>17227.18</v>
      </c>
      <c r="G51" s="104">
        <f>'Bd liberation Beneduc'!D11</f>
        <v>66628.12999999999</v>
      </c>
      <c r="H51" s="10">
        <f>H50-'Vision patrimoine'!$H$11</f>
        <v>40001.810000000136</v>
      </c>
      <c r="I51" s="11">
        <f>I50-'Vision patrimoine'!$H$12</f>
        <v>69382.1500000003</v>
      </c>
    </row>
    <row r="52" spans="3:9" x14ac:dyDescent="0.2">
      <c r="C52" s="15" t="s">
        <v>41</v>
      </c>
      <c r="D52" s="32">
        <v>2026</v>
      </c>
      <c r="E52" s="10">
        <f>E51-'Vision patrimoine'!$H$8</f>
        <v>21931.889999999985</v>
      </c>
      <c r="F52" s="10">
        <f>F51-('Vision patrimoine'!$H$9+'Vision patrimoine'!$H$10)</f>
        <v>16877.18</v>
      </c>
      <c r="G52" s="104">
        <f>'Bd liberation Beneduc'!D12</f>
        <v>66230.509999999995</v>
      </c>
      <c r="H52" s="10">
        <f>H51-'Vision patrimoine'!$H$11</f>
        <v>39569.110000000139</v>
      </c>
      <c r="I52" s="11">
        <f>I51-'Vision patrimoine'!$H$12</f>
        <v>68752.860000000306</v>
      </c>
    </row>
    <row r="53" spans="3:9" x14ac:dyDescent="0.2">
      <c r="C53" s="15" t="s">
        <v>30</v>
      </c>
      <c r="D53" s="32">
        <v>2026</v>
      </c>
      <c r="E53" s="10">
        <f>E52-'Vision patrimoine'!$H$8</f>
        <v>21491.709999999985</v>
      </c>
      <c r="F53" s="10">
        <f>F52-('Vision patrimoine'!$H$9+'Vision patrimoine'!$H$10)</f>
        <v>16527.18</v>
      </c>
      <c r="G53" s="104">
        <f>'Bd liberation Beneduc'!D13</f>
        <v>65831.789999999994</v>
      </c>
      <c r="H53" s="10">
        <f>H52-'Vision patrimoine'!$H$11</f>
        <v>39136.410000000142</v>
      </c>
      <c r="I53" s="11">
        <f>I52-'Vision patrimoine'!$H$12</f>
        <v>68123.570000000313</v>
      </c>
    </row>
    <row r="54" spans="3:9" x14ac:dyDescent="0.2">
      <c r="C54" s="15" t="s">
        <v>31</v>
      </c>
      <c r="D54" s="32">
        <v>2026</v>
      </c>
      <c r="E54" s="10">
        <f>E53-'Vision patrimoine'!$H$8</f>
        <v>21051.529999999984</v>
      </c>
      <c r="F54" s="10">
        <f>F53-('Vision patrimoine'!$H$9+'Vision patrimoine'!$H$10)</f>
        <v>16177.18</v>
      </c>
      <c r="G54" s="104">
        <f>'Bd liberation Beneduc'!D14</f>
        <v>65431.979999999996</v>
      </c>
      <c r="H54" s="10">
        <f>H53-'Vision patrimoine'!$H$11</f>
        <v>38703.710000000145</v>
      </c>
      <c r="I54" s="11">
        <f>I53-'Vision patrimoine'!$H$12</f>
        <v>67494.280000000319</v>
      </c>
    </row>
    <row r="55" spans="3:9" x14ac:dyDescent="0.2">
      <c r="C55" s="15" t="s">
        <v>32</v>
      </c>
      <c r="D55" s="32">
        <v>2027</v>
      </c>
      <c r="E55" s="10">
        <f>E54-'Vision patrimoine'!$H$8</f>
        <v>20611.349999999984</v>
      </c>
      <c r="F55" s="10">
        <f>F54-('Vision patrimoine'!$H$9+'Vision patrimoine'!$H$10)</f>
        <v>15827.18</v>
      </c>
      <c r="G55" s="104">
        <f>'Bd liberation Beneduc'!D15</f>
        <v>65031.069999999992</v>
      </c>
      <c r="H55" s="10">
        <f>H54-'Vision patrimoine'!$H$11</f>
        <v>38271.010000000148</v>
      </c>
      <c r="I55" s="11">
        <f>I54-'Vision patrimoine'!$H$12</f>
        <v>66864.990000000325</v>
      </c>
    </row>
    <row r="56" spans="3:9" x14ac:dyDescent="0.2">
      <c r="C56" s="15" t="s">
        <v>33</v>
      </c>
      <c r="D56" s="32">
        <v>2027</v>
      </c>
      <c r="E56" s="10">
        <f>E55-'Vision patrimoine'!$H$8</f>
        <v>20171.169999999984</v>
      </c>
      <c r="F56" s="10">
        <f>F55-('Vision patrimoine'!$H$9+'Vision patrimoine'!$H$10)</f>
        <v>15477.18</v>
      </c>
      <c r="G56" s="104">
        <f>'Bd liberation Beneduc'!D16</f>
        <v>64629.05999999999</v>
      </c>
      <c r="H56" s="10">
        <f>H55-'Vision patrimoine'!$H$11</f>
        <v>37838.31000000015</v>
      </c>
      <c r="I56" s="11">
        <f>I55-'Vision patrimoine'!$H$12</f>
        <v>66235.700000000332</v>
      </c>
    </row>
    <row r="57" spans="3:9" x14ac:dyDescent="0.2">
      <c r="C57" s="15" t="s">
        <v>34</v>
      </c>
      <c r="D57" s="32">
        <v>2027</v>
      </c>
      <c r="E57" s="10">
        <f>E56-'Vision patrimoine'!$H$8</f>
        <v>19730.989999999983</v>
      </c>
      <c r="F57" s="10">
        <f>F56-('Vision patrimoine'!$H$9+'Vision patrimoine'!$H$10)</f>
        <v>15127.18</v>
      </c>
      <c r="G57" s="104">
        <f>'Bd liberation Beneduc'!D17</f>
        <v>64225.939999999988</v>
      </c>
      <c r="H57" s="10">
        <f>H56-'Vision patrimoine'!$H$11</f>
        <v>37405.610000000153</v>
      </c>
      <c r="I57" s="11">
        <f>I56-'Vision patrimoine'!$H$12</f>
        <v>65606.410000000338</v>
      </c>
    </row>
    <row r="58" spans="3:9" x14ac:dyDescent="0.2">
      <c r="C58" s="15" t="s">
        <v>35</v>
      </c>
      <c r="D58" s="32">
        <v>2027</v>
      </c>
      <c r="E58" s="10">
        <f>E57-'Vision patrimoine'!$H$8</f>
        <v>19290.809999999983</v>
      </c>
      <c r="F58" s="10">
        <f>F57-('Vision patrimoine'!$H$9+'Vision patrimoine'!$H$10)</f>
        <v>14777.18</v>
      </c>
      <c r="G58" s="104">
        <f>'Bd liberation Beneduc'!D18</f>
        <v>63821.709999999985</v>
      </c>
      <c r="H58" s="10">
        <f>H57-'Vision patrimoine'!$H$11</f>
        <v>36972.910000000156</v>
      </c>
      <c r="I58" s="11">
        <f>I57-'Vision patrimoine'!$H$12</f>
        <v>64977.120000000337</v>
      </c>
    </row>
    <row r="59" spans="3:9" x14ac:dyDescent="0.2">
      <c r="C59" s="15" t="s">
        <v>36</v>
      </c>
      <c r="D59" s="32">
        <v>2027</v>
      </c>
      <c r="E59" s="10">
        <f>E58-'Vision patrimoine'!$H$8</f>
        <v>18850.629999999983</v>
      </c>
      <c r="F59" s="10">
        <f>F58-('Vision patrimoine'!$H$9+'Vision patrimoine'!$H$10)</f>
        <v>14427.18</v>
      </c>
      <c r="G59" s="104">
        <f>'Bd liberation Beneduc'!D19</f>
        <v>63416.369999999988</v>
      </c>
      <c r="H59" s="10">
        <f>H58-'Vision patrimoine'!$H$11</f>
        <v>36540.210000000159</v>
      </c>
      <c r="I59" s="11">
        <f>I58-'Vision patrimoine'!$H$12</f>
        <v>64347.830000000336</v>
      </c>
    </row>
    <row r="60" spans="3:9" x14ac:dyDescent="0.2">
      <c r="C60" s="15" t="s">
        <v>37</v>
      </c>
      <c r="D60" s="32">
        <v>2027</v>
      </c>
      <c r="E60" s="10">
        <f>E59-'Vision patrimoine'!$H$8</f>
        <v>18410.449999999983</v>
      </c>
      <c r="F60" s="10">
        <f>F59-('Vision patrimoine'!$H$9+'Vision patrimoine'!$H$10)</f>
        <v>14077.18</v>
      </c>
      <c r="G60" s="104">
        <f>'Bd liberation Beneduc'!D20</f>
        <v>63009.919999999991</v>
      </c>
      <c r="H60" s="10">
        <f>H59-'Vision patrimoine'!$H$11</f>
        <v>36107.510000000162</v>
      </c>
      <c r="I60" s="11">
        <f>I59-'Vision patrimoine'!$H$12</f>
        <v>63718.540000000336</v>
      </c>
    </row>
    <row r="61" spans="3:9" x14ac:dyDescent="0.2">
      <c r="C61" s="15" t="s">
        <v>38</v>
      </c>
      <c r="D61" s="32">
        <v>2027</v>
      </c>
      <c r="E61" s="10">
        <f>E60-'Vision patrimoine'!$H$8</f>
        <v>17970.269999999982</v>
      </c>
      <c r="F61" s="10">
        <f>F60-('Vision patrimoine'!$H$9+'Vision patrimoine'!$H$10)</f>
        <v>13727.18</v>
      </c>
      <c r="G61" s="104">
        <f>'Bd liberation Beneduc'!D21</f>
        <v>62602.349999999991</v>
      </c>
      <c r="H61" s="10">
        <f>H60-'Vision patrimoine'!$H$11</f>
        <v>35674.810000000165</v>
      </c>
      <c r="I61" s="11">
        <f>I60-'Vision patrimoine'!$H$12</f>
        <v>63089.250000000335</v>
      </c>
    </row>
    <row r="62" spans="3:9" x14ac:dyDescent="0.2">
      <c r="C62" s="15" t="s">
        <v>39</v>
      </c>
      <c r="D62" s="32">
        <v>2027</v>
      </c>
      <c r="E62" s="10">
        <f>E61-'Vision patrimoine'!$H$8</f>
        <v>17530.089999999982</v>
      </c>
      <c r="F62" s="10">
        <f>F61-('Vision patrimoine'!$H$9+'Vision patrimoine'!$H$10)</f>
        <v>13377.18</v>
      </c>
      <c r="G62" s="104">
        <f>'Bd liberation Beneduc'!D22</f>
        <v>62193.659999999989</v>
      </c>
      <c r="H62" s="10">
        <f>H61-'Vision patrimoine'!$H$11</f>
        <v>35242.110000000168</v>
      </c>
      <c r="I62" s="11">
        <f>I61-'Vision patrimoine'!$H$12</f>
        <v>62459.960000000334</v>
      </c>
    </row>
    <row r="63" spans="3:9" x14ac:dyDescent="0.2">
      <c r="C63" s="15" t="s">
        <v>40</v>
      </c>
      <c r="D63" s="32">
        <v>2027</v>
      </c>
      <c r="E63" s="10">
        <f>E62-'Vision patrimoine'!$H$8</f>
        <v>17089.909999999982</v>
      </c>
      <c r="F63" s="10">
        <f>F62-('Vision patrimoine'!$H$9+'Vision patrimoine'!$H$10)</f>
        <v>13027.18</v>
      </c>
      <c r="G63" s="104">
        <f>'Bd liberation Beneduc'!D23</f>
        <v>61783.839999999989</v>
      </c>
      <c r="H63" s="10">
        <f>H62-'Vision patrimoine'!$H$11</f>
        <v>34809.410000000171</v>
      </c>
      <c r="I63" s="11">
        <f>I62-'Vision patrimoine'!$H$12</f>
        <v>61830.670000000333</v>
      </c>
    </row>
    <row r="64" spans="3:9" x14ac:dyDescent="0.2">
      <c r="C64" s="15" t="s">
        <v>41</v>
      </c>
      <c r="D64" s="32">
        <v>2027</v>
      </c>
      <c r="E64" s="10">
        <f>E63-'Vision patrimoine'!$H$8</f>
        <v>16649.729999999981</v>
      </c>
      <c r="F64" s="10">
        <f>F63-('Vision patrimoine'!$H$9+'Vision patrimoine'!$H$10)</f>
        <v>12677.18</v>
      </c>
      <c r="G64" s="104">
        <f>'Bd liberation Beneduc'!D24</f>
        <v>61372.899999999987</v>
      </c>
      <c r="H64" s="10">
        <f>H63-'Vision patrimoine'!$H$11</f>
        <v>34376.710000000174</v>
      </c>
      <c r="I64" s="11">
        <f>I63-'Vision patrimoine'!$H$12</f>
        <v>61201.380000000332</v>
      </c>
    </row>
    <row r="65" spans="3:9" x14ac:dyDescent="0.2">
      <c r="C65" s="15" t="s">
        <v>30</v>
      </c>
      <c r="D65" s="32">
        <v>2027</v>
      </c>
      <c r="E65" s="10">
        <f>E64-'Vision patrimoine'!$H$8</f>
        <v>16209.549999999981</v>
      </c>
      <c r="F65" s="10">
        <f>F64-('Vision patrimoine'!$H$9+'Vision patrimoine'!$H$10)</f>
        <v>12327.18</v>
      </c>
      <c r="G65" s="104">
        <f>'Bd liberation Beneduc'!D25</f>
        <v>60960.829999999987</v>
      </c>
      <c r="H65" s="10">
        <f>H64-'Vision patrimoine'!$H$11</f>
        <v>33944.010000000177</v>
      </c>
      <c r="I65" s="11">
        <f>I64-'Vision patrimoine'!$H$12</f>
        <v>60572.090000000331</v>
      </c>
    </row>
    <row r="66" spans="3:9" x14ac:dyDescent="0.2">
      <c r="C66" s="15" t="s">
        <v>31</v>
      </c>
      <c r="D66" s="32">
        <v>2027</v>
      </c>
      <c r="E66" s="10">
        <f>E65-'Vision patrimoine'!$H$8</f>
        <v>15769.369999999981</v>
      </c>
      <c r="F66" s="10">
        <f>F65-('Vision patrimoine'!$H$9+'Vision patrimoine'!$H$10)</f>
        <v>11977.18</v>
      </c>
      <c r="G66" s="104">
        <f>'Bd liberation Beneduc'!D26</f>
        <v>60547.619999999988</v>
      </c>
      <c r="H66" s="10">
        <f>H65-'Vision patrimoine'!$H$11</f>
        <v>33511.31000000018</v>
      </c>
      <c r="I66" s="11">
        <f>I65-'Vision patrimoine'!$H$12</f>
        <v>59942.80000000033</v>
      </c>
    </row>
    <row r="67" spans="3:9" x14ac:dyDescent="0.2">
      <c r="C67" s="15" t="s">
        <v>32</v>
      </c>
      <c r="D67" s="32">
        <v>2028</v>
      </c>
      <c r="E67" s="10">
        <f>E66-'Vision patrimoine'!$H$8</f>
        <v>15329.189999999981</v>
      </c>
      <c r="F67" s="10">
        <f>F66-('Vision patrimoine'!$H$9+'Vision patrimoine'!$H$10)</f>
        <v>11627.18</v>
      </c>
      <c r="G67" s="104">
        <f>'Bd liberation Beneduc'!D27</f>
        <v>60133.279999999992</v>
      </c>
      <c r="H67" s="10">
        <f>H66-'Vision patrimoine'!$H$11</f>
        <v>33078.610000000182</v>
      </c>
      <c r="I67" s="11">
        <f>I66-'Vision patrimoine'!$H$12</f>
        <v>59313.510000000329</v>
      </c>
    </row>
    <row r="68" spans="3:9" x14ac:dyDescent="0.2">
      <c r="C68" s="15" t="s">
        <v>33</v>
      </c>
      <c r="D68" s="32">
        <v>2028</v>
      </c>
      <c r="E68" s="10">
        <f>E67-'Vision patrimoine'!$H$8</f>
        <v>14889.00999999998</v>
      </c>
      <c r="F68" s="10">
        <f>F67-('Vision patrimoine'!$H$9+'Vision patrimoine'!$H$10)</f>
        <v>11277.18</v>
      </c>
      <c r="G68" s="104">
        <f>'Bd liberation Beneduc'!D28</f>
        <v>59717.799999999988</v>
      </c>
      <c r="H68" s="10">
        <f>H67-'Vision patrimoine'!$H$11</f>
        <v>32645.910000000182</v>
      </c>
      <c r="I68" s="11">
        <f>I67-'Vision patrimoine'!$H$12</f>
        <v>58684.220000000329</v>
      </c>
    </row>
    <row r="69" spans="3:9" x14ac:dyDescent="0.2">
      <c r="C69" s="15" t="s">
        <v>34</v>
      </c>
      <c r="D69" s="32">
        <v>2028</v>
      </c>
      <c r="E69" s="10">
        <f>E68-'Vision patrimoine'!$H$8</f>
        <v>14448.82999999998</v>
      </c>
      <c r="F69" s="10">
        <f>F68-('Vision patrimoine'!$H$9+'Vision patrimoine'!$H$10)</f>
        <v>10927.18</v>
      </c>
      <c r="G69" s="104">
        <f>'Bd liberation Beneduc'!D29</f>
        <v>59301.169999999991</v>
      </c>
      <c r="H69" s="10">
        <f>H68-'Vision patrimoine'!$H$11</f>
        <v>32213.210000000181</v>
      </c>
      <c r="I69" s="11">
        <f>I68-'Vision patrimoine'!$H$12</f>
        <v>58054.930000000328</v>
      </c>
    </row>
    <row r="70" spans="3:9" x14ac:dyDescent="0.2">
      <c r="C70" s="15" t="s">
        <v>35</v>
      </c>
      <c r="D70" s="32">
        <v>2028</v>
      </c>
      <c r="E70" s="10">
        <f>E69-'Vision patrimoine'!$H$8</f>
        <v>14008.64999999998</v>
      </c>
      <c r="F70" s="10">
        <f>F69-('Vision patrimoine'!$H$9+'Vision patrimoine'!$H$10)</f>
        <v>10577.18</v>
      </c>
      <c r="G70" s="104">
        <f>'Bd liberation Beneduc'!D30</f>
        <v>58883.469999999994</v>
      </c>
      <c r="H70" s="10">
        <f>H69-'Vision patrimoine'!$H$11</f>
        <v>31780.51000000018</v>
      </c>
      <c r="I70" s="11">
        <f>I69-'Vision patrimoine'!$H$12</f>
        <v>57425.640000000327</v>
      </c>
    </row>
    <row r="71" spans="3:9" x14ac:dyDescent="0.2">
      <c r="C71" s="15" t="s">
        <v>36</v>
      </c>
      <c r="D71" s="32">
        <v>2028</v>
      </c>
      <c r="E71" s="10">
        <f>E70-'Vision patrimoine'!$H$8</f>
        <v>13568.469999999979</v>
      </c>
      <c r="F71" s="10">
        <f>F70-('Vision patrimoine'!$H$9+'Vision patrimoine'!$H$10)</f>
        <v>10227.18</v>
      </c>
      <c r="G71" s="104">
        <f>'Bd liberation Beneduc'!D31</f>
        <v>58464.619999999995</v>
      </c>
      <c r="H71" s="10">
        <f>H70-'Vision patrimoine'!$H$11</f>
        <v>31347.81000000018</v>
      </c>
      <c r="I71" s="11">
        <f>I70-'Vision patrimoine'!$H$12</f>
        <v>56796.350000000326</v>
      </c>
    </row>
    <row r="72" spans="3:9" x14ac:dyDescent="0.2">
      <c r="C72" s="15" t="s">
        <v>37</v>
      </c>
      <c r="D72" s="32">
        <v>2028</v>
      </c>
      <c r="E72" s="10">
        <f>E71-'Vision patrimoine'!$H$8</f>
        <v>13128.289999999979</v>
      </c>
      <c r="F72" s="10">
        <f>F71-('Vision patrimoine'!$H$9+'Vision patrimoine'!$H$10)</f>
        <v>9877.18</v>
      </c>
      <c r="G72" s="104">
        <f>'Bd liberation Beneduc'!D32</f>
        <v>58044.619999999995</v>
      </c>
      <c r="H72" s="10">
        <f>H71-'Vision patrimoine'!$H$11</f>
        <v>30915.110000000179</v>
      </c>
      <c r="I72" s="11">
        <f>I71-'Vision patrimoine'!$H$12</f>
        <v>56167.060000000325</v>
      </c>
    </row>
    <row r="73" spans="3:9" x14ac:dyDescent="0.2">
      <c r="C73" s="15" t="s">
        <v>38</v>
      </c>
      <c r="D73" s="32">
        <v>2028</v>
      </c>
      <c r="E73" s="10">
        <f>E72-'Vision patrimoine'!$H$8</f>
        <v>12688.109999999979</v>
      </c>
      <c r="F73" s="10">
        <f>F72-('Vision patrimoine'!$H$9+'Vision patrimoine'!$H$10)</f>
        <v>9527.18</v>
      </c>
      <c r="G73" s="104">
        <f>'Bd liberation Beneduc'!D33</f>
        <v>57623.459999999992</v>
      </c>
      <c r="H73" s="10">
        <f>H72-'Vision patrimoine'!$H$11</f>
        <v>30482.410000000178</v>
      </c>
      <c r="I73" s="11">
        <f>I72-'Vision patrimoine'!$H$12</f>
        <v>55537.770000000324</v>
      </c>
    </row>
    <row r="74" spans="3:9" x14ac:dyDescent="0.2">
      <c r="C74" s="15" t="s">
        <v>39</v>
      </c>
      <c r="D74" s="32">
        <v>2028</v>
      </c>
      <c r="E74" s="10">
        <f>E73-'Vision patrimoine'!$H$8</f>
        <v>12247.929999999978</v>
      </c>
      <c r="F74" s="10">
        <f>F73-('Vision patrimoine'!$H$9+'Vision patrimoine'!$H$10)</f>
        <v>9177.18</v>
      </c>
      <c r="G74" s="104">
        <f>'Bd liberation Beneduc'!D34</f>
        <v>57201.139999999992</v>
      </c>
      <c r="H74" s="10">
        <f>H73-'Vision patrimoine'!$H$11</f>
        <v>30049.710000000177</v>
      </c>
      <c r="I74" s="11">
        <f>I73-'Vision patrimoine'!$H$12</f>
        <v>54908.480000000323</v>
      </c>
    </row>
    <row r="75" spans="3:9" x14ac:dyDescent="0.2">
      <c r="C75" s="15" t="s">
        <v>40</v>
      </c>
      <c r="D75" s="32">
        <v>2028</v>
      </c>
      <c r="E75" s="10">
        <f>E74-'Vision patrimoine'!$H$8</f>
        <v>11807.749999999978</v>
      </c>
      <c r="F75" s="10">
        <f>F74-('Vision patrimoine'!$H$9+'Vision patrimoine'!$H$10)</f>
        <v>8827.18</v>
      </c>
      <c r="G75" s="104">
        <f>'Bd liberation Beneduc'!D35</f>
        <v>56777.659999999989</v>
      </c>
      <c r="H75" s="10">
        <f>H74-'Vision patrimoine'!$H$11</f>
        <v>29617.010000000177</v>
      </c>
      <c r="I75" s="11">
        <f>I74-'Vision patrimoine'!$H$12</f>
        <v>54279.190000000322</v>
      </c>
    </row>
    <row r="76" spans="3:9" x14ac:dyDescent="0.2">
      <c r="C76" s="15" t="s">
        <v>41</v>
      </c>
      <c r="D76" s="32">
        <v>2028</v>
      </c>
      <c r="E76" s="10">
        <f>E75-'Vision patrimoine'!$H$8</f>
        <v>11367.569999999978</v>
      </c>
      <c r="F76" s="10">
        <f>F75-('Vision patrimoine'!$H$9+'Vision patrimoine'!$H$10)</f>
        <v>8477.18</v>
      </c>
      <c r="G76" s="104">
        <f>'Bd liberation Beneduc'!D36</f>
        <v>56353.01999999999</v>
      </c>
      <c r="H76" s="10">
        <f>H75-'Vision patrimoine'!$H$11</f>
        <v>29184.310000000176</v>
      </c>
      <c r="I76" s="11">
        <f>I75-'Vision patrimoine'!$H$12</f>
        <v>53649.900000000322</v>
      </c>
    </row>
    <row r="77" spans="3:9" x14ac:dyDescent="0.2">
      <c r="C77" s="15" t="s">
        <v>30</v>
      </c>
      <c r="D77" s="32">
        <v>2028</v>
      </c>
      <c r="E77" s="10">
        <f>E76-'Vision patrimoine'!$H$8</f>
        <v>10927.389999999978</v>
      </c>
      <c r="F77" s="10">
        <f>F76-('Vision patrimoine'!$H$9+'Vision patrimoine'!$H$10)</f>
        <v>8127.18</v>
      </c>
      <c r="G77" s="104">
        <f>'Bd liberation Beneduc'!D37</f>
        <v>55927.209999999992</v>
      </c>
      <c r="H77" s="10">
        <f>H76-'Vision patrimoine'!$H$11</f>
        <v>28751.610000000175</v>
      </c>
      <c r="I77" s="11">
        <f>I76-'Vision patrimoine'!$H$12</f>
        <v>53020.610000000321</v>
      </c>
    </row>
    <row r="78" spans="3:9" x14ac:dyDescent="0.2">
      <c r="C78" s="15" t="s">
        <v>31</v>
      </c>
      <c r="D78" s="32">
        <v>2028</v>
      </c>
      <c r="E78" s="10">
        <f>E77-'Vision patrimoine'!$H$8</f>
        <v>10487.209999999977</v>
      </c>
      <c r="F78" s="10">
        <f>F77-('Vision patrimoine'!$H$9+'Vision patrimoine'!$H$10)</f>
        <v>7777.18</v>
      </c>
      <c r="G78" s="104">
        <f>'Bd liberation Beneduc'!D38</f>
        <v>55500.229999999989</v>
      </c>
      <c r="H78" s="10">
        <f>H77-'Vision patrimoine'!$H$11</f>
        <v>28318.910000000174</v>
      </c>
      <c r="I78" s="11">
        <f>I77-'Vision patrimoine'!$H$12</f>
        <v>52391.32000000032</v>
      </c>
    </row>
    <row r="79" spans="3:9" x14ac:dyDescent="0.2">
      <c r="C79" s="15" t="s">
        <v>32</v>
      </c>
      <c r="D79" s="32">
        <v>2029</v>
      </c>
      <c r="E79" s="10">
        <f>E78-'Vision patrimoine'!$H$8</f>
        <v>10047.029999999977</v>
      </c>
      <c r="F79" s="10">
        <f>F78-('Vision patrimoine'!$H$9+'Vision patrimoine'!$H$10)</f>
        <v>7427.18</v>
      </c>
      <c r="G79" s="104">
        <f>'Bd liberation Beneduc'!D39</f>
        <v>55072.079999999987</v>
      </c>
      <c r="H79" s="10">
        <f>H78-'Vision patrimoine'!$H$11</f>
        <v>27886.210000000174</v>
      </c>
      <c r="I79" s="11">
        <f>I78-'Vision patrimoine'!$H$12</f>
        <v>51762.030000000319</v>
      </c>
    </row>
    <row r="80" spans="3:9" x14ac:dyDescent="0.2">
      <c r="C80" s="15" t="s">
        <v>33</v>
      </c>
      <c r="D80" s="32">
        <v>2029</v>
      </c>
      <c r="E80" s="10">
        <f>E79-'Vision patrimoine'!$H$8</f>
        <v>9606.8499999999767</v>
      </c>
      <c r="F80" s="10">
        <f>F79-('Vision patrimoine'!$H$9+'Vision patrimoine'!$H$10)</f>
        <v>7077.18</v>
      </c>
      <c r="G80" s="104">
        <f>'Bd liberation Beneduc'!D40</f>
        <v>54642.749999999985</v>
      </c>
      <c r="H80" s="10">
        <f>H79-'Vision patrimoine'!$H$11</f>
        <v>27453.510000000173</v>
      </c>
      <c r="I80" s="11">
        <f>I79-'Vision patrimoine'!$H$12</f>
        <v>51132.740000000318</v>
      </c>
    </row>
    <row r="81" spans="3:9" x14ac:dyDescent="0.2">
      <c r="C81" s="15" t="s">
        <v>34</v>
      </c>
      <c r="D81" s="32">
        <v>2029</v>
      </c>
      <c r="E81" s="10">
        <f>E80-'Vision patrimoine'!$H$8</f>
        <v>9166.6699999999764</v>
      </c>
      <c r="F81" s="10">
        <f>F80-('Vision patrimoine'!$H$9+'Vision patrimoine'!$H$10)</f>
        <v>6727.18</v>
      </c>
      <c r="G81" s="104">
        <f>'Bd liberation Beneduc'!D41</f>
        <v>54212.239999999983</v>
      </c>
      <c r="H81" s="10">
        <f>H80-'Vision patrimoine'!$H$11</f>
        <v>27020.810000000172</v>
      </c>
      <c r="I81" s="11">
        <f>I80-'Vision patrimoine'!$H$12</f>
        <v>50503.450000000317</v>
      </c>
    </row>
    <row r="82" spans="3:9" x14ac:dyDescent="0.2">
      <c r="C82" s="15" t="s">
        <v>35</v>
      </c>
      <c r="D82" s="32">
        <v>2029</v>
      </c>
      <c r="E82" s="10">
        <f>E81-'Vision patrimoine'!$H$8</f>
        <v>8726.4899999999761</v>
      </c>
      <c r="F82" s="10">
        <f>F81-('Vision patrimoine'!$H$9+'Vision patrimoine'!$H$10)</f>
        <v>6377.18</v>
      </c>
      <c r="G82" s="104">
        <f>'Bd liberation Beneduc'!D42</f>
        <v>53780.799999999981</v>
      </c>
      <c r="H82" s="10">
        <f>H81-'Vision patrimoine'!$H$11</f>
        <v>26588.110000000172</v>
      </c>
      <c r="I82" s="11">
        <f>I81-'Vision patrimoine'!$H$12</f>
        <v>49874.160000000316</v>
      </c>
    </row>
    <row r="83" spans="3:9" x14ac:dyDescent="0.2">
      <c r="C83" s="15" t="s">
        <v>36</v>
      </c>
      <c r="D83" s="32">
        <v>2029</v>
      </c>
      <c r="E83" s="10">
        <f>E82-'Vision patrimoine'!$H$8</f>
        <v>8286.3099999999758</v>
      </c>
      <c r="F83" s="10">
        <f>F82-('Vision patrimoine'!$H$9+'Vision patrimoine'!$H$10)</f>
        <v>6027.18</v>
      </c>
      <c r="G83" s="104">
        <f>'Bd liberation Beneduc'!D43</f>
        <v>53348.179999999978</v>
      </c>
      <c r="H83" s="10">
        <f>H82-'Vision patrimoine'!$H$11</f>
        <v>26155.410000000171</v>
      </c>
      <c r="I83" s="11">
        <f>I82-'Vision patrimoine'!$H$12</f>
        <v>49244.870000000315</v>
      </c>
    </row>
    <row r="84" spans="3:9" x14ac:dyDescent="0.2">
      <c r="C84" s="15" t="s">
        <v>37</v>
      </c>
      <c r="D84" s="32">
        <v>2029</v>
      </c>
      <c r="E84" s="10">
        <f>E83-'Vision patrimoine'!$H$8</f>
        <v>7846.1299999999756</v>
      </c>
      <c r="F84" s="10">
        <f>F83-('Vision patrimoine'!$H$9+'Vision patrimoine'!$H$10)</f>
        <v>5677.18</v>
      </c>
      <c r="G84" s="104">
        <f>'Bd liberation Beneduc'!D44</f>
        <v>52914.369999999981</v>
      </c>
      <c r="H84" s="10">
        <f>H83-'Vision patrimoine'!$H$11</f>
        <v>25722.71000000017</v>
      </c>
      <c r="I84" s="11">
        <f>I83-'Vision patrimoine'!$H$12</f>
        <v>48615.580000000315</v>
      </c>
    </row>
    <row r="85" spans="3:9" x14ac:dyDescent="0.2">
      <c r="C85" s="15" t="s">
        <v>38</v>
      </c>
      <c r="D85" s="32">
        <v>2029</v>
      </c>
      <c r="E85" s="10">
        <f>E84-'Vision patrimoine'!$H$8</f>
        <v>7405.9499999999753</v>
      </c>
      <c r="F85" s="10">
        <f>F84-('Vision patrimoine'!$H$9+'Vision patrimoine'!$H$10)</f>
        <v>5327.18</v>
      </c>
      <c r="G85" s="104">
        <f>'Bd liberation Beneduc'!D45</f>
        <v>52479.359999999979</v>
      </c>
      <c r="H85" s="10">
        <f>H84-'Vision patrimoine'!$H$11</f>
        <v>25290.010000000169</v>
      </c>
      <c r="I85" s="11">
        <f>I84-'Vision patrimoine'!$H$12</f>
        <v>47986.290000000314</v>
      </c>
    </row>
    <row r="86" spans="3:9" x14ac:dyDescent="0.2">
      <c r="C86" s="15" t="s">
        <v>39</v>
      </c>
      <c r="D86" s="32">
        <v>2029</v>
      </c>
      <c r="E86" s="10">
        <f>E85-'Vision patrimoine'!$H$8</f>
        <v>6965.769999999975</v>
      </c>
      <c r="F86" s="10">
        <f>F85-('Vision patrimoine'!$H$9+'Vision patrimoine'!$H$10)</f>
        <v>4977.18</v>
      </c>
      <c r="G86" s="104">
        <f>'Bd liberation Beneduc'!D46</f>
        <v>52043.159999999982</v>
      </c>
      <c r="H86" s="10">
        <f>H85-'Vision patrimoine'!$H$11</f>
        <v>24857.310000000169</v>
      </c>
      <c r="I86" s="11">
        <f>I85-'Vision patrimoine'!$H$12</f>
        <v>47357.000000000313</v>
      </c>
    </row>
    <row r="87" spans="3:9" x14ac:dyDescent="0.2">
      <c r="C87" s="15" t="s">
        <v>40</v>
      </c>
      <c r="D87" s="32">
        <v>2029</v>
      </c>
      <c r="E87" s="10">
        <f>E86-'Vision patrimoine'!$H$8</f>
        <v>6525.5899999999747</v>
      </c>
      <c r="F87" s="10">
        <f>F86-('Vision patrimoine'!$H$9+'Vision patrimoine'!$H$10)</f>
        <v>4627.18</v>
      </c>
      <c r="G87" s="104">
        <f>'Bd liberation Beneduc'!D47</f>
        <v>51605.75999999998</v>
      </c>
      <c r="H87" s="10">
        <f>H86-'Vision patrimoine'!$H$11</f>
        <v>24424.610000000168</v>
      </c>
      <c r="I87" s="11">
        <f>I86-'Vision patrimoine'!$H$12</f>
        <v>46727.710000000312</v>
      </c>
    </row>
    <row r="88" spans="3:9" x14ac:dyDescent="0.2">
      <c r="C88" s="15" t="s">
        <v>41</v>
      </c>
      <c r="D88" s="32">
        <v>2029</v>
      </c>
      <c r="E88" s="10">
        <f>E87-'Vision patrimoine'!$H$8</f>
        <v>6085.4099999999744</v>
      </c>
      <c r="F88" s="10">
        <f>F87-('Vision patrimoine'!$H$9+'Vision patrimoine'!$H$10)</f>
        <v>4277.18</v>
      </c>
      <c r="G88" s="104">
        <f>'Bd liberation Beneduc'!D48</f>
        <v>51167.159999999982</v>
      </c>
      <c r="H88" s="10">
        <f>H87-'Vision patrimoine'!$H$11</f>
        <v>23991.910000000167</v>
      </c>
      <c r="I88" s="11">
        <f>I87-'Vision patrimoine'!$H$12</f>
        <v>46098.420000000311</v>
      </c>
    </row>
    <row r="89" spans="3:9" x14ac:dyDescent="0.2">
      <c r="C89" s="15" t="s">
        <v>30</v>
      </c>
      <c r="D89" s="32">
        <v>2029</v>
      </c>
      <c r="E89" s="10">
        <f>E88-'Vision patrimoine'!$H$8</f>
        <v>5645.2299999999741</v>
      </c>
      <c r="F89" s="10">
        <f>F88-('Vision patrimoine'!$H$9+'Vision patrimoine'!$H$10)</f>
        <v>3927.1800000000003</v>
      </c>
      <c r="G89" s="104">
        <f>'Bd liberation Beneduc'!D49</f>
        <v>50727.349999999984</v>
      </c>
      <c r="H89" s="10">
        <f>H88-'Vision patrimoine'!$H$11</f>
        <v>23559.210000000166</v>
      </c>
      <c r="I89" s="11">
        <f>I88-'Vision patrimoine'!$H$12</f>
        <v>45469.13000000031</v>
      </c>
    </row>
    <row r="90" spans="3:9" x14ac:dyDescent="0.2">
      <c r="C90" s="15" t="s">
        <v>31</v>
      </c>
      <c r="D90" s="32">
        <v>2029</v>
      </c>
      <c r="E90" s="10">
        <f>E89-'Vision patrimoine'!$H$8</f>
        <v>5205.0499999999738</v>
      </c>
      <c r="F90" s="10">
        <f>F89-('Vision patrimoine'!$H$9+'Vision patrimoine'!$H$10)</f>
        <v>3577.1800000000003</v>
      </c>
      <c r="G90" s="104">
        <f>'Bd liberation Beneduc'!D50</f>
        <v>50286.329999999987</v>
      </c>
      <c r="H90" s="10">
        <f>H89-'Vision patrimoine'!$H$11</f>
        <v>23126.510000000166</v>
      </c>
      <c r="I90" s="11">
        <f>I89-'Vision patrimoine'!$H$12</f>
        <v>44839.840000000309</v>
      </c>
    </row>
    <row r="91" spans="3:9" x14ac:dyDescent="0.2">
      <c r="C91" s="15" t="s">
        <v>32</v>
      </c>
      <c r="D91" s="32">
        <v>2030</v>
      </c>
      <c r="E91" s="10">
        <f>E90-'Vision patrimoine'!$H$8</f>
        <v>4764.8699999999735</v>
      </c>
      <c r="F91" s="10">
        <f>F90-('Vision patrimoine'!$H$9+'Vision patrimoine'!$H$10)</f>
        <v>3227.1800000000003</v>
      </c>
      <c r="G91" s="104">
        <f>'Bd liberation Beneduc'!D51</f>
        <v>49844.099999999984</v>
      </c>
      <c r="H91" s="10">
        <f>H90-'Vision patrimoine'!$H$11</f>
        <v>22693.810000000165</v>
      </c>
      <c r="I91" s="11">
        <f>I90-'Vision patrimoine'!$H$12</f>
        <v>44210.550000000309</v>
      </c>
    </row>
    <row r="92" spans="3:9" x14ac:dyDescent="0.2">
      <c r="C92" s="15" t="s">
        <v>33</v>
      </c>
      <c r="D92" s="32">
        <v>2030</v>
      </c>
      <c r="E92" s="10">
        <f>E91-'Vision patrimoine'!$H$8</f>
        <v>4324.6899999999732</v>
      </c>
      <c r="F92" s="10">
        <f>F91-('Vision patrimoine'!$H$9+'Vision patrimoine'!$H$10)</f>
        <v>2877.1800000000003</v>
      </c>
      <c r="G92" s="104">
        <f>'Bd liberation Beneduc'!D52</f>
        <v>49400.649999999987</v>
      </c>
      <c r="H92" s="10">
        <f>H91-'Vision patrimoine'!$H$11</f>
        <v>22261.110000000164</v>
      </c>
      <c r="I92" s="11">
        <f>I91-'Vision patrimoine'!$H$12</f>
        <v>43581.260000000308</v>
      </c>
    </row>
    <row r="93" spans="3:9" x14ac:dyDescent="0.2">
      <c r="C93" s="15" t="s">
        <v>34</v>
      </c>
      <c r="D93" s="32">
        <v>2030</v>
      </c>
      <c r="E93" s="10">
        <f>E92-'Vision patrimoine'!$H$8</f>
        <v>3884.5099999999734</v>
      </c>
      <c r="F93" s="10">
        <f>F92-('Vision patrimoine'!$H$9+'Vision patrimoine'!$H$10)</f>
        <v>2527.1800000000003</v>
      </c>
      <c r="G93" s="104">
        <f>'Bd liberation Beneduc'!D53</f>
        <v>48955.979999999989</v>
      </c>
      <c r="H93" s="10">
        <f>H92-'Vision patrimoine'!$H$11</f>
        <v>21828.410000000164</v>
      </c>
      <c r="I93" s="11">
        <f>I92-'Vision patrimoine'!$H$12</f>
        <v>42951.970000000307</v>
      </c>
    </row>
    <row r="94" spans="3:9" x14ac:dyDescent="0.2">
      <c r="C94" s="15" t="s">
        <v>35</v>
      </c>
      <c r="D94" s="32">
        <v>2030</v>
      </c>
      <c r="E94" s="10">
        <f>E93-'Vision patrimoine'!$H$8</f>
        <v>3444.3299999999736</v>
      </c>
      <c r="F94" s="10">
        <f>F93-('Vision patrimoine'!$H$9+'Vision patrimoine'!$H$10)</f>
        <v>2177.1800000000003</v>
      </c>
      <c r="G94" s="104">
        <f>'Bd liberation Beneduc'!D54</f>
        <v>48510.479999999989</v>
      </c>
      <c r="H94" s="10">
        <f>H93-'Vision patrimoine'!$H$11</f>
        <v>21395.710000000163</v>
      </c>
      <c r="I94" s="11">
        <f>I93-'Vision patrimoine'!$H$12</f>
        <v>42322.680000000306</v>
      </c>
    </row>
    <row r="95" spans="3:9" x14ac:dyDescent="0.2">
      <c r="C95" s="15" t="s">
        <v>36</v>
      </c>
      <c r="D95" s="32">
        <v>2030</v>
      </c>
      <c r="E95" s="10">
        <f>E94-'Vision patrimoine'!$H$8</f>
        <v>3004.1499999999737</v>
      </c>
      <c r="F95" s="10">
        <f>F94-('Vision patrimoine'!$H$9+'Vision patrimoine'!$H$10)</f>
        <v>1827.1800000000003</v>
      </c>
      <c r="G95" s="104">
        <f>'Bd liberation Beneduc'!D55</f>
        <v>48063.749999999985</v>
      </c>
      <c r="H95" s="10">
        <f>H94-'Vision patrimoine'!$H$11</f>
        <v>20963.010000000162</v>
      </c>
      <c r="I95" s="11">
        <f>I94-'Vision patrimoine'!$H$12</f>
        <v>41693.390000000305</v>
      </c>
    </row>
    <row r="96" spans="3:9" x14ac:dyDescent="0.2">
      <c r="C96" s="15" t="s">
        <v>37</v>
      </c>
      <c r="D96" s="32">
        <v>2030</v>
      </c>
      <c r="E96" s="10">
        <f>E95-'Vision patrimoine'!$H$8</f>
        <v>2563.9699999999739</v>
      </c>
      <c r="F96" s="10">
        <f>F95-('Vision patrimoine'!$H$9+'Vision patrimoine'!$H$10)</f>
        <v>1477.1800000000003</v>
      </c>
      <c r="G96" s="104">
        <f>'Bd liberation Beneduc'!D56</f>
        <v>47615.799999999988</v>
      </c>
      <c r="H96" s="10">
        <f>H95-'Vision patrimoine'!$H$11</f>
        <v>20530.310000000161</v>
      </c>
      <c r="I96" s="11">
        <f>I95-'Vision patrimoine'!$H$12</f>
        <v>41064.100000000304</v>
      </c>
    </row>
    <row r="97" spans="3:9" x14ac:dyDescent="0.2">
      <c r="C97" s="15" t="s">
        <v>38</v>
      </c>
      <c r="D97" s="32">
        <v>2030</v>
      </c>
      <c r="E97" s="10">
        <f>E96-'Vision patrimoine'!$H$8</f>
        <v>2123.789999999974</v>
      </c>
      <c r="F97" s="10">
        <f>F96-('Vision patrimoine'!$H$9+'Vision patrimoine'!$H$10)</f>
        <v>1127.1800000000003</v>
      </c>
      <c r="G97" s="104">
        <f>'Bd liberation Beneduc'!D57</f>
        <v>47166.609999999986</v>
      </c>
      <c r="H97" s="10">
        <f>H96-'Vision patrimoine'!$H$11</f>
        <v>20097.610000000161</v>
      </c>
      <c r="I97" s="11">
        <f>I96-'Vision patrimoine'!$H$12</f>
        <v>40434.810000000303</v>
      </c>
    </row>
    <row r="98" spans="3:9" x14ac:dyDescent="0.2">
      <c r="C98" s="15" t="s">
        <v>39</v>
      </c>
      <c r="D98" s="32">
        <v>2030</v>
      </c>
      <c r="E98" s="10">
        <f>E97-'Vision patrimoine'!$H$8</f>
        <v>1683.609999999974</v>
      </c>
      <c r="F98" s="10">
        <f>F97-('Vision patrimoine'!$H$9+'Vision patrimoine'!$H$10)</f>
        <v>777.18000000000029</v>
      </c>
      <c r="G98" s="104">
        <f>'Bd liberation Beneduc'!D58</f>
        <v>46716.189999999988</v>
      </c>
      <c r="H98" s="10">
        <f>H97-'Vision patrimoine'!$H$11</f>
        <v>19664.91000000016</v>
      </c>
      <c r="I98" s="11">
        <f>I97-'Vision patrimoine'!$H$12</f>
        <v>39805.520000000302</v>
      </c>
    </row>
    <row r="99" spans="3:9" x14ac:dyDescent="0.2">
      <c r="C99" s="15" t="s">
        <v>40</v>
      </c>
      <c r="D99" s="32">
        <v>2030</v>
      </c>
      <c r="E99" s="10">
        <f>E98-'Vision patrimoine'!$H$8</f>
        <v>1243.4299999999739</v>
      </c>
      <c r="F99" s="10">
        <f>F98-('Vision patrimoine'!$H$9+'Vision patrimoine'!$H$10)</f>
        <v>427.18000000000029</v>
      </c>
      <c r="G99" s="104">
        <f>'Bd liberation Beneduc'!D59</f>
        <v>46264.529999999984</v>
      </c>
      <c r="H99" s="10">
        <f>H98-'Vision patrimoine'!$H$11</f>
        <v>19232.210000000159</v>
      </c>
      <c r="I99" s="11">
        <f>I98-'Vision patrimoine'!$H$12</f>
        <v>39176.230000000302</v>
      </c>
    </row>
    <row r="100" spans="3:9" x14ac:dyDescent="0.2">
      <c r="C100" s="15" t="s">
        <v>41</v>
      </c>
      <c r="D100" s="32">
        <v>2030</v>
      </c>
      <c r="E100" s="10">
        <f>E99-'Vision patrimoine'!$H$8</f>
        <v>803.24999999997385</v>
      </c>
      <c r="F100" s="10">
        <f>F99-('Vision patrimoine'!$H$9+'Vision patrimoine'!$H$10)</f>
        <v>77.180000000000291</v>
      </c>
      <c r="G100" s="104">
        <f>'Bd liberation Beneduc'!D60</f>
        <v>45811.629999999983</v>
      </c>
      <c r="H100" s="10">
        <f>H99-'Vision patrimoine'!$H$11</f>
        <v>18799.510000000158</v>
      </c>
      <c r="I100" s="11">
        <f>I99-'Vision patrimoine'!$H$12</f>
        <v>38546.940000000301</v>
      </c>
    </row>
    <row r="101" spans="3:9" x14ac:dyDescent="0.2">
      <c r="C101" s="15" t="s">
        <v>30</v>
      </c>
      <c r="D101" s="32">
        <v>2030</v>
      </c>
      <c r="E101" s="10">
        <f>E100-'Vision patrimoine'!$H$8</f>
        <v>363.06999999997385</v>
      </c>
      <c r="F101" s="10">
        <f>F100-('Vision patrimoine'!$H$9+'Vision patrimoine'!$H$10)</f>
        <v>-272.81999999999971</v>
      </c>
      <c r="G101" s="104">
        <f>'Bd liberation Beneduc'!D61</f>
        <v>45357.479999999981</v>
      </c>
      <c r="H101" s="10">
        <f>H100-'Vision patrimoine'!$H$11</f>
        <v>18366.810000000158</v>
      </c>
      <c r="I101" s="11">
        <f>I100-'Vision patrimoine'!$H$12</f>
        <v>37917.6500000003</v>
      </c>
    </row>
    <row r="102" spans="3:9" x14ac:dyDescent="0.2">
      <c r="C102" s="15" t="s">
        <v>31</v>
      </c>
      <c r="D102" s="32">
        <v>2030</v>
      </c>
      <c r="E102" s="10">
        <f>E101-'Vision patrimoine'!$H$8</f>
        <v>-77.110000000026162</v>
      </c>
      <c r="F102" s="10">
        <f>F101-('Vision patrimoine'!$H$9+'Vision patrimoine'!$H$10)</f>
        <v>-622.81999999999971</v>
      </c>
      <c r="G102" s="104">
        <f>'Bd liberation Beneduc'!D62</f>
        <v>44902.07999999998</v>
      </c>
      <c r="H102" s="10">
        <f>H101-'Vision patrimoine'!$H$11</f>
        <v>17934.110000000157</v>
      </c>
      <c r="I102" s="11">
        <f>I101-'Vision patrimoine'!$H$12</f>
        <v>37288.360000000299</v>
      </c>
    </row>
    <row r="103" spans="3:9" x14ac:dyDescent="0.2">
      <c r="C103" s="15" t="s">
        <v>32</v>
      </c>
      <c r="D103" s="32">
        <v>2031</v>
      </c>
      <c r="E103" s="12">
        <v>0</v>
      </c>
      <c r="F103" s="10">
        <f>F102-('Vision patrimoine'!$H$9+'Vision patrimoine'!$H$10)</f>
        <v>-972.81999999999971</v>
      </c>
      <c r="G103" s="104">
        <f>'Bd liberation Beneduc'!D63</f>
        <v>44445.429999999978</v>
      </c>
      <c r="H103" s="10">
        <f>H102-'Vision patrimoine'!$H$11</f>
        <v>17501.410000000156</v>
      </c>
      <c r="I103" s="11">
        <f>I102-'Vision patrimoine'!$H$12</f>
        <v>36659.070000000298</v>
      </c>
    </row>
    <row r="104" spans="3:9" x14ac:dyDescent="0.2">
      <c r="C104" s="15" t="s">
        <v>33</v>
      </c>
      <c r="D104" s="32">
        <v>2031</v>
      </c>
      <c r="E104" s="10">
        <v>0</v>
      </c>
      <c r="F104" s="12">
        <v>0</v>
      </c>
      <c r="G104" s="104">
        <f>'Bd liberation Beneduc'!D64</f>
        <v>43987.519999999975</v>
      </c>
      <c r="H104" s="10">
        <f>H103-'Vision patrimoine'!$H$11</f>
        <v>17068.710000000156</v>
      </c>
      <c r="I104" s="11">
        <f>I103-'Vision patrimoine'!$H$12</f>
        <v>36029.780000000297</v>
      </c>
    </row>
    <row r="105" spans="3:9" x14ac:dyDescent="0.2">
      <c r="C105" s="15" t="s">
        <v>34</v>
      </c>
      <c r="D105" s="32">
        <v>2031</v>
      </c>
      <c r="E105" s="10">
        <v>0</v>
      </c>
      <c r="F105" s="10">
        <v>0</v>
      </c>
      <c r="G105" s="104">
        <f>'Bd liberation Beneduc'!D65</f>
        <v>43528.359999999971</v>
      </c>
      <c r="H105" s="10">
        <f>H104-'Vision patrimoine'!$H$11</f>
        <v>16636.010000000155</v>
      </c>
      <c r="I105" s="11">
        <f>I104-'Vision patrimoine'!$H$12</f>
        <v>35400.490000000296</v>
      </c>
    </row>
    <row r="106" spans="3:9" x14ac:dyDescent="0.2">
      <c r="C106" s="15" t="s">
        <v>35</v>
      </c>
      <c r="D106" s="32">
        <v>2031</v>
      </c>
      <c r="E106" s="10">
        <v>0</v>
      </c>
      <c r="F106" s="10">
        <v>0</v>
      </c>
      <c r="G106" s="104">
        <f>'Bd liberation Beneduc'!D66</f>
        <v>43068.489999999969</v>
      </c>
      <c r="H106" s="10">
        <f>H105-'Vision patrimoine'!$H$11</f>
        <v>16203.310000000154</v>
      </c>
      <c r="I106" s="11">
        <f>I105-'Vision patrimoine'!$H$12</f>
        <v>34771.200000000295</v>
      </c>
    </row>
    <row r="107" spans="3:9" x14ac:dyDescent="0.2">
      <c r="C107" s="15" t="s">
        <v>36</v>
      </c>
      <c r="D107" s="32">
        <v>2031</v>
      </c>
      <c r="E107" s="10">
        <v>0</v>
      </c>
      <c r="F107" s="10">
        <v>0</v>
      </c>
      <c r="G107" s="104">
        <f>'Bd liberation Beneduc'!D67</f>
        <v>42607.359999999971</v>
      </c>
      <c r="H107" s="10">
        <f>H106-'Vision patrimoine'!$H$11</f>
        <v>15770.610000000153</v>
      </c>
      <c r="I107" s="11">
        <f>I106-'Vision patrimoine'!$H$12</f>
        <v>34141.910000000295</v>
      </c>
    </row>
    <row r="108" spans="3:9" x14ac:dyDescent="0.2">
      <c r="C108" s="15" t="s">
        <v>37</v>
      </c>
      <c r="D108" s="32">
        <v>2031</v>
      </c>
      <c r="E108" s="10">
        <v>0</v>
      </c>
      <c r="F108" s="10">
        <v>0</v>
      </c>
      <c r="G108" s="104">
        <f>'Bd liberation Beneduc'!D68</f>
        <v>42144.95999999997</v>
      </c>
      <c r="H108" s="10">
        <f>H107-'Vision patrimoine'!$H$11</f>
        <v>15337.910000000153</v>
      </c>
      <c r="I108" s="11">
        <f>I107-'Vision patrimoine'!$H$12</f>
        <v>33512.620000000294</v>
      </c>
    </row>
    <row r="109" spans="3:9" x14ac:dyDescent="0.2">
      <c r="C109" s="15" t="s">
        <v>38</v>
      </c>
      <c r="D109" s="32">
        <v>2031</v>
      </c>
      <c r="E109" s="10">
        <v>0</v>
      </c>
      <c r="F109" s="10">
        <v>0</v>
      </c>
      <c r="G109" s="104">
        <f>'Bd liberation Beneduc'!D69</f>
        <v>41681.289999999972</v>
      </c>
      <c r="H109" s="10">
        <f>H108-'Vision patrimoine'!$H$11</f>
        <v>14905.210000000152</v>
      </c>
      <c r="I109" s="11">
        <f>I108-'Vision patrimoine'!$H$12</f>
        <v>32883.330000000293</v>
      </c>
    </row>
    <row r="110" spans="3:9" x14ac:dyDescent="0.2">
      <c r="C110" s="15" t="s">
        <v>39</v>
      </c>
      <c r="D110" s="32">
        <v>2031</v>
      </c>
      <c r="E110" s="10">
        <v>0</v>
      </c>
      <c r="F110" s="10">
        <v>0</v>
      </c>
      <c r="G110" s="104">
        <f>'Bd liberation Beneduc'!D70</f>
        <v>41216.339999999975</v>
      </c>
      <c r="H110" s="10">
        <f>H109-'Vision patrimoine'!$H$11</f>
        <v>14472.510000000151</v>
      </c>
      <c r="I110" s="11">
        <f>I109-'Vision patrimoine'!$H$12</f>
        <v>32254.040000000292</v>
      </c>
    </row>
    <row r="111" spans="3:9" x14ac:dyDescent="0.2">
      <c r="C111" s="15" t="s">
        <v>40</v>
      </c>
      <c r="D111" s="32">
        <v>2031</v>
      </c>
      <c r="E111" s="10">
        <v>0</v>
      </c>
      <c r="F111" s="10">
        <v>0</v>
      </c>
      <c r="G111" s="104">
        <f>'Bd liberation Beneduc'!D71</f>
        <v>40750.109999999971</v>
      </c>
      <c r="H111" s="10">
        <f>H110-'Vision patrimoine'!$H$11</f>
        <v>14039.81000000015</v>
      </c>
      <c r="I111" s="11">
        <f>I110-'Vision patrimoine'!$H$12</f>
        <v>31624.750000000291</v>
      </c>
    </row>
    <row r="112" spans="3:9" x14ac:dyDescent="0.2">
      <c r="C112" s="15" t="s">
        <v>41</v>
      </c>
      <c r="D112" s="32">
        <v>2031</v>
      </c>
      <c r="E112" s="10">
        <v>0</v>
      </c>
      <c r="F112" s="10">
        <v>0</v>
      </c>
      <c r="G112" s="104">
        <f>'Bd liberation Beneduc'!D72</f>
        <v>40282.599999999969</v>
      </c>
      <c r="H112" s="10">
        <f>H111-'Vision patrimoine'!$H$11</f>
        <v>13607.11000000015</v>
      </c>
      <c r="I112" s="11">
        <f>I111-'Vision patrimoine'!$H$12</f>
        <v>30995.46000000029</v>
      </c>
    </row>
    <row r="113" spans="3:9" x14ac:dyDescent="0.2">
      <c r="C113" s="15" t="s">
        <v>30</v>
      </c>
      <c r="D113" s="32">
        <v>2031</v>
      </c>
      <c r="E113" s="10">
        <v>0</v>
      </c>
      <c r="F113" s="10">
        <v>0</v>
      </c>
      <c r="G113" s="104">
        <f>'Bd liberation Beneduc'!D73</f>
        <v>39813.809999999969</v>
      </c>
      <c r="H113" s="10">
        <f>H112-'Vision patrimoine'!$H$11</f>
        <v>13174.410000000149</v>
      </c>
      <c r="I113" s="11">
        <f>I112-'Vision patrimoine'!$H$12</f>
        <v>30366.170000000289</v>
      </c>
    </row>
    <row r="114" spans="3:9" x14ac:dyDescent="0.2">
      <c r="C114" s="15" t="s">
        <v>31</v>
      </c>
      <c r="D114" s="32">
        <v>2031</v>
      </c>
      <c r="E114" s="10">
        <v>0</v>
      </c>
      <c r="F114" s="10">
        <v>0</v>
      </c>
      <c r="G114" s="104">
        <f>'Bd liberation Beneduc'!D74</f>
        <v>39343.729999999967</v>
      </c>
      <c r="H114" s="10">
        <f>H113-'Vision patrimoine'!$H$11</f>
        <v>12741.710000000148</v>
      </c>
      <c r="I114" s="11">
        <f>I113-'Vision patrimoine'!$H$12</f>
        <v>29736.880000000288</v>
      </c>
    </row>
    <row r="115" spans="3:9" x14ac:dyDescent="0.2">
      <c r="C115" s="15" t="s">
        <v>32</v>
      </c>
      <c r="D115" s="32">
        <v>2032</v>
      </c>
      <c r="E115" s="10">
        <v>0</v>
      </c>
      <c r="F115" s="10">
        <v>0</v>
      </c>
      <c r="G115" s="104">
        <f>'Bd liberation Beneduc'!D75</f>
        <v>38872.359999999964</v>
      </c>
      <c r="H115" s="10">
        <f>H114-'Vision patrimoine'!$H$11</f>
        <v>12309.010000000148</v>
      </c>
      <c r="I115" s="11">
        <f>I114-'Vision patrimoine'!$H$12</f>
        <v>29107.590000000288</v>
      </c>
    </row>
    <row r="116" spans="3:9" x14ac:dyDescent="0.2">
      <c r="C116" s="15" t="s">
        <v>33</v>
      </c>
      <c r="D116" s="32">
        <v>2032</v>
      </c>
      <c r="E116" s="10">
        <v>0</v>
      </c>
      <c r="F116" s="10">
        <v>0</v>
      </c>
      <c r="G116" s="104">
        <f>'Bd liberation Beneduc'!D76</f>
        <v>38399.689999999966</v>
      </c>
      <c r="H116" s="10">
        <f>H115-'Vision patrimoine'!$H$11</f>
        <v>11876.310000000147</v>
      </c>
      <c r="I116" s="11">
        <f>I115-'Vision patrimoine'!$H$12</f>
        <v>28478.300000000287</v>
      </c>
    </row>
    <row r="117" spans="3:9" x14ac:dyDescent="0.2">
      <c r="C117" s="15" t="s">
        <v>34</v>
      </c>
      <c r="D117" s="32">
        <v>2032</v>
      </c>
      <c r="E117" s="10">
        <v>0</v>
      </c>
      <c r="F117" s="10">
        <v>0</v>
      </c>
      <c r="G117" s="104">
        <f>'Bd liberation Beneduc'!D77</f>
        <v>37925.719999999965</v>
      </c>
      <c r="H117" s="10">
        <f>H116-'Vision patrimoine'!$H$11</f>
        <v>11443.610000000146</v>
      </c>
      <c r="I117" s="11">
        <f>I116-'Vision patrimoine'!$H$12</f>
        <v>27849.010000000286</v>
      </c>
    </row>
    <row r="118" spans="3:9" x14ac:dyDescent="0.2">
      <c r="C118" s="15" t="s">
        <v>35</v>
      </c>
      <c r="D118" s="32">
        <v>2032</v>
      </c>
      <c r="E118" s="10">
        <v>0</v>
      </c>
      <c r="F118" s="10">
        <v>0</v>
      </c>
      <c r="G118" s="104">
        <f>'Bd liberation Beneduc'!D78</f>
        <v>37450.449999999968</v>
      </c>
      <c r="H118" s="10">
        <f>H117-'Vision patrimoine'!$H$11</f>
        <v>11010.910000000145</v>
      </c>
      <c r="I118" s="11">
        <f>I117-'Vision patrimoine'!$H$12</f>
        <v>27219.720000000285</v>
      </c>
    </row>
    <row r="119" spans="3:9" x14ac:dyDescent="0.2">
      <c r="C119" s="15" t="s">
        <v>36</v>
      </c>
      <c r="D119" s="32">
        <v>2032</v>
      </c>
      <c r="E119" s="10">
        <v>0</v>
      </c>
      <c r="F119" s="10">
        <v>0</v>
      </c>
      <c r="G119" s="104">
        <f>'Bd liberation Beneduc'!D79</f>
        <v>36974.599999999969</v>
      </c>
      <c r="H119" s="10">
        <f>H118-'Vision patrimoine'!$H$11</f>
        <v>10578.210000000145</v>
      </c>
      <c r="I119" s="11">
        <f>I118-'Vision patrimoine'!$H$12</f>
        <v>26590.430000000284</v>
      </c>
    </row>
    <row r="120" spans="3:9" x14ac:dyDescent="0.2">
      <c r="C120" s="15" t="s">
        <v>37</v>
      </c>
      <c r="D120" s="32">
        <v>2032</v>
      </c>
      <c r="E120" s="10">
        <v>0</v>
      </c>
      <c r="F120" s="10">
        <v>0</v>
      </c>
      <c r="G120" s="104">
        <f>'Bd liberation Beneduc'!D80</f>
        <v>36497.439999999966</v>
      </c>
      <c r="H120" s="10">
        <f>H119-'Vision patrimoine'!$H$11</f>
        <v>10145.510000000144</v>
      </c>
      <c r="I120" s="11">
        <f>I119-'Vision patrimoine'!$H$12</f>
        <v>25961.140000000283</v>
      </c>
    </row>
    <row r="121" spans="3:9" x14ac:dyDescent="0.2">
      <c r="C121" s="15" t="s">
        <v>38</v>
      </c>
      <c r="D121" s="32">
        <v>2032</v>
      </c>
      <c r="E121" s="10">
        <v>0</v>
      </c>
      <c r="F121" s="10">
        <v>0</v>
      </c>
      <c r="G121" s="104">
        <f>'Bd liberation Beneduc'!D81</f>
        <v>36018.969999999965</v>
      </c>
      <c r="H121" s="10">
        <f>H120-'Vision patrimoine'!$H$11</f>
        <v>9712.8100000001432</v>
      </c>
      <c r="I121" s="11">
        <f>I120-'Vision patrimoine'!$H$12</f>
        <v>25331.850000000282</v>
      </c>
    </row>
    <row r="122" spans="3:9" x14ac:dyDescent="0.2">
      <c r="C122" s="15" t="s">
        <v>39</v>
      </c>
      <c r="D122" s="32">
        <v>2032</v>
      </c>
      <c r="E122" s="10">
        <v>0</v>
      </c>
      <c r="F122" s="10">
        <v>0</v>
      </c>
      <c r="G122" s="104">
        <f>'Bd liberation Beneduc'!D82</f>
        <v>35539.179999999964</v>
      </c>
      <c r="H122" s="10">
        <f>H121-'Vision patrimoine'!$H$11</f>
        <v>9280.1100000001425</v>
      </c>
      <c r="I122" s="11">
        <f>I121-'Vision patrimoine'!$H$12</f>
        <v>24702.560000000281</v>
      </c>
    </row>
    <row r="123" spans="3:9" x14ac:dyDescent="0.2">
      <c r="C123" s="15" t="s">
        <v>40</v>
      </c>
      <c r="D123" s="32">
        <v>2032</v>
      </c>
      <c r="E123" s="10">
        <v>0</v>
      </c>
      <c r="F123" s="10">
        <v>0</v>
      </c>
      <c r="G123" s="104">
        <f>'Bd liberation Beneduc'!D83</f>
        <v>35058.069999999963</v>
      </c>
      <c r="H123" s="10">
        <f>H122-'Vision patrimoine'!$H$11</f>
        <v>8847.4100000001417</v>
      </c>
      <c r="I123" s="11">
        <f>I122-'Vision patrimoine'!$H$12</f>
        <v>24073.270000000281</v>
      </c>
    </row>
    <row r="124" spans="3:9" x14ac:dyDescent="0.2">
      <c r="C124" s="15" t="s">
        <v>41</v>
      </c>
      <c r="D124" s="32">
        <v>2032</v>
      </c>
      <c r="E124" s="10">
        <v>0</v>
      </c>
      <c r="F124" s="10">
        <v>0</v>
      </c>
      <c r="G124" s="104">
        <f>'Bd liberation Beneduc'!D84</f>
        <v>34575.639999999963</v>
      </c>
      <c r="H124" s="10">
        <f>H123-'Vision patrimoine'!$H$11</f>
        <v>8414.710000000141</v>
      </c>
      <c r="I124" s="11">
        <f>I123-'Vision patrimoine'!$H$12</f>
        <v>23443.98000000028</v>
      </c>
    </row>
    <row r="125" spans="3:9" x14ac:dyDescent="0.2">
      <c r="C125" s="15" t="s">
        <v>30</v>
      </c>
      <c r="D125" s="32">
        <v>2032</v>
      </c>
      <c r="E125" s="10">
        <v>0</v>
      </c>
      <c r="F125" s="10">
        <v>0</v>
      </c>
      <c r="G125" s="104">
        <f>'Bd liberation Beneduc'!D85</f>
        <v>34091.879999999961</v>
      </c>
      <c r="H125" s="10">
        <f>H124-'Vision patrimoine'!$H$11</f>
        <v>7982.0100000001412</v>
      </c>
      <c r="I125" s="11">
        <f>I124-'Vision patrimoine'!$H$12</f>
        <v>22814.690000000279</v>
      </c>
    </row>
    <row r="126" spans="3:9" x14ac:dyDescent="0.2">
      <c r="C126" s="15" t="s">
        <v>31</v>
      </c>
      <c r="D126" s="32">
        <v>2032</v>
      </c>
      <c r="E126" s="10">
        <v>0</v>
      </c>
      <c r="F126" s="10">
        <v>0</v>
      </c>
      <c r="G126" s="104">
        <f>'Bd liberation Beneduc'!D86</f>
        <v>33606.789999999964</v>
      </c>
      <c r="H126" s="10">
        <f>H125-'Vision patrimoine'!$H$11</f>
        <v>7549.3100000001414</v>
      </c>
      <c r="I126" s="11">
        <f>I125-'Vision patrimoine'!$H$12</f>
        <v>22185.400000000278</v>
      </c>
    </row>
    <row r="127" spans="3:9" x14ac:dyDescent="0.2">
      <c r="C127" s="15" t="s">
        <v>32</v>
      </c>
      <c r="D127" s="32">
        <v>2033</v>
      </c>
      <c r="E127" s="10">
        <v>0</v>
      </c>
      <c r="F127" s="10">
        <v>0</v>
      </c>
      <c r="G127" s="104">
        <f>'Bd liberation Beneduc'!D87</f>
        <v>33120.369999999966</v>
      </c>
      <c r="H127" s="10">
        <f>H126-'Vision patrimoine'!$H$11</f>
        <v>7116.6100000001416</v>
      </c>
      <c r="I127" s="11">
        <f>I126-'Vision patrimoine'!$H$12</f>
        <v>21556.110000000277</v>
      </c>
    </row>
    <row r="128" spans="3:9" x14ac:dyDescent="0.2">
      <c r="C128" s="15" t="s">
        <v>33</v>
      </c>
      <c r="D128" s="32">
        <v>2033</v>
      </c>
      <c r="E128" s="10">
        <v>0</v>
      </c>
      <c r="F128" s="10">
        <v>0</v>
      </c>
      <c r="G128" s="104">
        <f>'Bd liberation Beneduc'!D88</f>
        <v>32632.609999999968</v>
      </c>
      <c r="H128" s="10">
        <f>H127-'Vision patrimoine'!$H$11</f>
        <v>6683.9100000001417</v>
      </c>
      <c r="I128" s="11">
        <f>I127-'Vision patrimoine'!$H$12</f>
        <v>20926.820000000276</v>
      </c>
    </row>
    <row r="129" spans="3:9" x14ac:dyDescent="0.2">
      <c r="C129" s="15" t="s">
        <v>34</v>
      </c>
      <c r="D129" s="32">
        <v>2033</v>
      </c>
      <c r="E129" s="10">
        <v>0</v>
      </c>
      <c r="F129" s="10">
        <v>0</v>
      </c>
      <c r="G129" s="104">
        <f>'Bd liberation Beneduc'!D89</f>
        <v>32143.509999999969</v>
      </c>
      <c r="H129" s="10">
        <f>H128-'Vision patrimoine'!$H$11</f>
        <v>6251.2100000001419</v>
      </c>
      <c r="I129" s="11">
        <f>I128-'Vision patrimoine'!$H$12</f>
        <v>20297.530000000275</v>
      </c>
    </row>
    <row r="130" spans="3:9" x14ac:dyDescent="0.2">
      <c r="C130" s="15" t="s">
        <v>35</v>
      </c>
      <c r="D130" s="32">
        <v>2033</v>
      </c>
      <c r="E130" s="10">
        <v>0</v>
      </c>
      <c r="F130" s="10">
        <v>0</v>
      </c>
      <c r="G130" s="104">
        <f>'Bd liberation Beneduc'!D90</f>
        <v>31653.999999999971</v>
      </c>
      <c r="H130" s="10">
        <f>H129-'Vision patrimoine'!$H$11</f>
        <v>5818.5100000001421</v>
      </c>
      <c r="I130" s="11">
        <f>I129-'Vision patrimoine'!$H$12</f>
        <v>19668.240000000274</v>
      </c>
    </row>
    <row r="131" spans="3:9" x14ac:dyDescent="0.2">
      <c r="C131" s="15" t="s">
        <v>36</v>
      </c>
      <c r="D131" s="32">
        <v>2033</v>
      </c>
      <c r="E131" s="10">
        <v>0</v>
      </c>
      <c r="F131" s="10">
        <v>0</v>
      </c>
      <c r="G131" s="104">
        <f>'Bd liberation Beneduc'!D91</f>
        <v>31163.149999999972</v>
      </c>
      <c r="H131" s="10">
        <f>H130-'Vision patrimoine'!$H$11</f>
        <v>5385.8100000001423</v>
      </c>
      <c r="I131" s="11">
        <f>I130-'Vision patrimoine'!$H$12</f>
        <v>19038.950000000274</v>
      </c>
    </row>
    <row r="132" spans="3:9" x14ac:dyDescent="0.2">
      <c r="C132" s="15" t="s">
        <v>37</v>
      </c>
      <c r="D132" s="32">
        <v>2033</v>
      </c>
      <c r="E132" s="10">
        <v>0</v>
      </c>
      <c r="F132" s="10">
        <v>0</v>
      </c>
      <c r="G132" s="104">
        <f>'Bd liberation Beneduc'!D92</f>
        <v>30670.949999999972</v>
      </c>
      <c r="H132" s="10">
        <f>H131-'Vision patrimoine'!$H$11</f>
        <v>4953.1100000001425</v>
      </c>
      <c r="I132" s="11">
        <f>I131-'Vision patrimoine'!$H$12</f>
        <v>18409.660000000273</v>
      </c>
    </row>
    <row r="133" spans="3:9" x14ac:dyDescent="0.2">
      <c r="C133" s="15" t="s">
        <v>38</v>
      </c>
      <c r="D133" s="32">
        <v>2033</v>
      </c>
      <c r="E133" s="10">
        <v>0</v>
      </c>
      <c r="F133" s="10">
        <v>0</v>
      </c>
      <c r="G133" s="104">
        <f>'Bd liberation Beneduc'!D93</f>
        <v>30177.399999999972</v>
      </c>
      <c r="H133" s="10">
        <f>H132-'Vision patrimoine'!$H$11</f>
        <v>4520.4100000001426</v>
      </c>
      <c r="I133" s="11">
        <f>I132-'Vision patrimoine'!$H$12</f>
        <v>17780.370000000272</v>
      </c>
    </row>
    <row r="134" spans="3:9" x14ac:dyDescent="0.2">
      <c r="C134" s="15" t="s">
        <v>39</v>
      </c>
      <c r="D134" s="32">
        <v>2033</v>
      </c>
      <c r="E134" s="10">
        <v>0</v>
      </c>
      <c r="F134" s="10">
        <v>0</v>
      </c>
      <c r="G134" s="104">
        <f>'Bd liberation Beneduc'!D94</f>
        <v>29682.489999999972</v>
      </c>
      <c r="H134" s="10">
        <f>H133-'Vision patrimoine'!$H$11</f>
        <v>4087.7100000001428</v>
      </c>
      <c r="I134" s="11">
        <f>I133-'Vision patrimoine'!$H$12</f>
        <v>17151.080000000271</v>
      </c>
    </row>
    <row r="135" spans="3:9" x14ac:dyDescent="0.2">
      <c r="C135" s="15" t="s">
        <v>40</v>
      </c>
      <c r="D135" s="32">
        <v>2033</v>
      </c>
      <c r="E135" s="10">
        <v>0</v>
      </c>
      <c r="F135" s="10">
        <v>0</v>
      </c>
      <c r="G135" s="104">
        <f>'Bd liberation Beneduc'!D95</f>
        <v>29186.219999999972</v>
      </c>
      <c r="H135" s="10">
        <f>H134-'Vision patrimoine'!$H$11</f>
        <v>3655.010000000143</v>
      </c>
      <c r="I135" s="11">
        <f>I134-'Vision patrimoine'!$H$12</f>
        <v>16521.79000000027</v>
      </c>
    </row>
    <row r="136" spans="3:9" x14ac:dyDescent="0.2">
      <c r="C136" s="15" t="s">
        <v>41</v>
      </c>
      <c r="D136" s="32">
        <v>2033</v>
      </c>
      <c r="E136" s="10">
        <v>0</v>
      </c>
      <c r="F136" s="10">
        <v>0</v>
      </c>
      <c r="G136" s="104">
        <f>'Bd liberation Beneduc'!D96</f>
        <v>28688.579999999973</v>
      </c>
      <c r="H136" s="10">
        <f>H135-'Vision patrimoine'!$H$11</f>
        <v>3222.3100000001432</v>
      </c>
      <c r="I136" s="11">
        <f>I135-'Vision patrimoine'!$H$12</f>
        <v>15892.500000000269</v>
      </c>
    </row>
    <row r="137" spans="3:9" x14ac:dyDescent="0.2">
      <c r="C137" s="15" t="s">
        <v>30</v>
      </c>
      <c r="D137" s="32">
        <v>2033</v>
      </c>
      <c r="E137" s="10">
        <v>0</v>
      </c>
      <c r="F137" s="10">
        <v>0</v>
      </c>
      <c r="G137" s="104">
        <f>'Bd liberation Beneduc'!D97</f>
        <v>28189.569999999974</v>
      </c>
      <c r="H137" s="10">
        <f>H136-'Vision patrimoine'!$H$11</f>
        <v>2789.6100000001434</v>
      </c>
      <c r="I137" s="11">
        <f>I136-'Vision patrimoine'!$H$12</f>
        <v>15263.210000000268</v>
      </c>
    </row>
    <row r="138" spans="3:9" x14ac:dyDescent="0.2">
      <c r="C138" s="15" t="s">
        <v>31</v>
      </c>
      <c r="D138" s="32">
        <v>2033</v>
      </c>
      <c r="E138" s="10">
        <v>0</v>
      </c>
      <c r="F138" s="10">
        <v>0</v>
      </c>
      <c r="G138" s="104">
        <f>'Bd liberation Beneduc'!D98</f>
        <v>27689.189999999973</v>
      </c>
      <c r="H138" s="10">
        <f>H137-'Vision patrimoine'!$H$11</f>
        <v>2356.9100000001436</v>
      </c>
      <c r="I138" s="11">
        <f>I137-'Vision patrimoine'!$H$12</f>
        <v>14633.920000000267</v>
      </c>
    </row>
    <row r="139" spans="3:9" x14ac:dyDescent="0.2">
      <c r="C139" s="15" t="s">
        <v>32</v>
      </c>
      <c r="D139" s="32">
        <v>2034</v>
      </c>
      <c r="E139" s="10">
        <v>0</v>
      </c>
      <c r="F139" s="10">
        <v>0</v>
      </c>
      <c r="G139" s="104">
        <f>'Bd liberation Beneduc'!D99</f>
        <v>27187.439999999973</v>
      </c>
      <c r="H139" s="10">
        <f>H138-'Vision patrimoine'!$H$11</f>
        <v>1924.2100000001435</v>
      </c>
      <c r="I139" s="11">
        <f>I138-'Vision patrimoine'!$H$12</f>
        <v>14004.630000000267</v>
      </c>
    </row>
    <row r="140" spans="3:9" x14ac:dyDescent="0.2">
      <c r="C140" s="15" t="s">
        <v>33</v>
      </c>
      <c r="D140" s="32">
        <v>2034</v>
      </c>
      <c r="E140" s="10">
        <v>0</v>
      </c>
      <c r="F140" s="10">
        <v>0</v>
      </c>
      <c r="G140" s="104">
        <f>'Bd liberation Beneduc'!D100</f>
        <v>26684.309999999972</v>
      </c>
      <c r="H140" s="10">
        <f>H139-'Vision patrimoine'!$H$11</f>
        <v>1491.5100000001435</v>
      </c>
      <c r="I140" s="11">
        <f>I139-'Vision patrimoine'!$H$12</f>
        <v>13375.340000000266</v>
      </c>
    </row>
    <row r="141" spans="3:9" x14ac:dyDescent="0.2">
      <c r="C141" s="15" t="s">
        <v>34</v>
      </c>
      <c r="D141" s="32">
        <v>2034</v>
      </c>
      <c r="E141" s="10">
        <v>0</v>
      </c>
      <c r="F141" s="10">
        <v>0</v>
      </c>
      <c r="G141" s="104">
        <f>'Bd liberation Beneduc'!D101</f>
        <v>26179.789999999972</v>
      </c>
      <c r="H141" s="10">
        <f>H140-'Vision patrimoine'!$H$11</f>
        <v>1058.8100000001434</v>
      </c>
      <c r="I141" s="11">
        <f>I140-'Vision patrimoine'!$H$12</f>
        <v>12746.050000000265</v>
      </c>
    </row>
    <row r="142" spans="3:9" x14ac:dyDescent="0.2">
      <c r="C142" s="15" t="s">
        <v>35</v>
      </c>
      <c r="D142" s="32">
        <v>2034</v>
      </c>
      <c r="E142" s="10">
        <v>0</v>
      </c>
      <c r="F142" s="10">
        <v>0</v>
      </c>
      <c r="G142" s="104">
        <f>'Bd liberation Beneduc'!D102</f>
        <v>25674.879999999972</v>
      </c>
      <c r="H142" s="10">
        <f>H141-'Vision patrimoine'!$H$11</f>
        <v>626.11000000014337</v>
      </c>
      <c r="I142" s="11">
        <f>I141-'Vision patrimoine'!$H$12</f>
        <v>12116.760000000264</v>
      </c>
    </row>
    <row r="143" spans="3:9" x14ac:dyDescent="0.2">
      <c r="C143" s="15" t="s">
        <v>36</v>
      </c>
      <c r="D143" s="32">
        <v>2034</v>
      </c>
      <c r="E143" s="10">
        <v>0</v>
      </c>
      <c r="F143" s="10">
        <v>0</v>
      </c>
      <c r="G143" s="104">
        <f>'Bd liberation Beneduc'!D103</f>
        <v>25168.589999999971</v>
      </c>
      <c r="H143" s="10">
        <f>H142-'Vision patrimoine'!$H$11</f>
        <v>193.41000000014338</v>
      </c>
      <c r="I143" s="11">
        <f>I142-'Vision patrimoine'!$H$12</f>
        <v>11487.470000000263</v>
      </c>
    </row>
    <row r="144" spans="3:9" x14ac:dyDescent="0.2">
      <c r="C144" s="15" t="s">
        <v>37</v>
      </c>
      <c r="D144" s="32">
        <v>2034</v>
      </c>
      <c r="E144" s="10">
        <v>0</v>
      </c>
      <c r="F144" s="10">
        <v>0</v>
      </c>
      <c r="G144" s="104">
        <f>'Bd liberation Beneduc'!D104</f>
        <v>24660.899999999972</v>
      </c>
      <c r="H144" s="10">
        <f>H143-'Vision patrimoine'!$H$11</f>
        <v>-239.2899999998566</v>
      </c>
      <c r="I144" s="11">
        <f>I143-'Vision patrimoine'!$H$12</f>
        <v>10858.180000000262</v>
      </c>
    </row>
    <row r="145" spans="3:9" x14ac:dyDescent="0.2">
      <c r="C145" s="15" t="s">
        <v>38</v>
      </c>
      <c r="D145" s="32">
        <v>2034</v>
      </c>
      <c r="E145" s="10">
        <v>0</v>
      </c>
      <c r="F145" s="10">
        <v>0</v>
      </c>
      <c r="G145" s="104">
        <f>'Bd liberation Beneduc'!D105</f>
        <v>24151.819999999971</v>
      </c>
      <c r="H145" s="10">
        <f>H144-'Vision patrimoine'!$H$11</f>
        <v>-671.98999999985654</v>
      </c>
      <c r="I145" s="11">
        <f>I144-'Vision patrimoine'!$H$12</f>
        <v>10228.890000000261</v>
      </c>
    </row>
    <row r="146" spans="3:9" x14ac:dyDescent="0.2">
      <c r="C146" s="15" t="s">
        <v>39</v>
      </c>
      <c r="D146" s="32">
        <v>2034</v>
      </c>
      <c r="E146" s="10">
        <v>0</v>
      </c>
      <c r="F146" s="10">
        <v>0</v>
      </c>
      <c r="G146" s="104">
        <f>'Bd liberation Beneduc'!D106</f>
        <v>23641.339999999971</v>
      </c>
      <c r="H146" s="12">
        <v>0</v>
      </c>
      <c r="I146" s="11">
        <f>I145-'Vision patrimoine'!$H$12</f>
        <v>9599.6000000002605</v>
      </c>
    </row>
    <row r="147" spans="3:9" x14ac:dyDescent="0.2">
      <c r="C147" s="15" t="s">
        <v>40</v>
      </c>
      <c r="D147" s="32">
        <v>2034</v>
      </c>
      <c r="E147" s="10">
        <v>0</v>
      </c>
      <c r="F147" s="10">
        <v>0</v>
      </c>
      <c r="G147" s="104">
        <f>'Bd liberation Beneduc'!D107</f>
        <v>23129.449999999972</v>
      </c>
      <c r="H147" s="10">
        <v>0</v>
      </c>
      <c r="I147" s="11">
        <f>I146-'Vision patrimoine'!$H$12</f>
        <v>8970.3100000002596</v>
      </c>
    </row>
    <row r="148" spans="3:9" x14ac:dyDescent="0.2">
      <c r="C148" s="15" t="s">
        <v>41</v>
      </c>
      <c r="D148" s="32">
        <v>2034</v>
      </c>
      <c r="E148" s="10">
        <v>0</v>
      </c>
      <c r="F148" s="10">
        <v>0</v>
      </c>
      <c r="G148" s="104">
        <f>'Bd liberation Beneduc'!D108</f>
        <v>22616.159999999971</v>
      </c>
      <c r="H148" s="10">
        <v>0</v>
      </c>
      <c r="I148" s="11">
        <f>I147-'Vision patrimoine'!$H$12</f>
        <v>8341.0200000002587</v>
      </c>
    </row>
    <row r="149" spans="3:9" x14ac:dyDescent="0.2">
      <c r="C149" s="15" t="s">
        <v>30</v>
      </c>
      <c r="D149" s="32">
        <v>2034</v>
      </c>
      <c r="E149" s="10">
        <v>0</v>
      </c>
      <c r="F149" s="10">
        <v>0</v>
      </c>
      <c r="G149" s="104">
        <f>'Bd liberation Beneduc'!D109</f>
        <v>22101.449999999972</v>
      </c>
      <c r="H149" s="10">
        <v>0</v>
      </c>
      <c r="I149" s="11">
        <f>I148-'Vision patrimoine'!$H$12</f>
        <v>7711.7300000002588</v>
      </c>
    </row>
    <row r="150" spans="3:9" x14ac:dyDescent="0.2">
      <c r="C150" s="15" t="s">
        <v>31</v>
      </c>
      <c r="D150" s="32">
        <v>2034</v>
      </c>
      <c r="E150" s="10">
        <v>0</v>
      </c>
      <c r="F150" s="10">
        <v>0</v>
      </c>
      <c r="G150" s="104">
        <f>'Bd liberation Beneduc'!D110</f>
        <v>21585.329999999973</v>
      </c>
      <c r="H150" s="10">
        <v>0</v>
      </c>
      <c r="I150" s="11">
        <f>I149-'Vision patrimoine'!$H$12</f>
        <v>7082.4400000002588</v>
      </c>
    </row>
    <row r="151" spans="3:9" x14ac:dyDescent="0.2">
      <c r="C151" s="15" t="s">
        <v>32</v>
      </c>
      <c r="D151" s="32">
        <v>2035</v>
      </c>
      <c r="E151" s="10">
        <v>0</v>
      </c>
      <c r="F151" s="10">
        <v>0</v>
      </c>
      <c r="G151" s="104">
        <f>'Bd liberation Beneduc'!D111</f>
        <v>21067.789999999972</v>
      </c>
      <c r="H151" s="10">
        <v>0</v>
      </c>
      <c r="I151" s="11">
        <f>I150-'Vision patrimoine'!$H$12</f>
        <v>6453.1500000002588</v>
      </c>
    </row>
    <row r="152" spans="3:9" x14ac:dyDescent="0.2">
      <c r="C152" s="15" t="s">
        <v>33</v>
      </c>
      <c r="D152" s="32">
        <v>2035</v>
      </c>
      <c r="E152" s="10">
        <v>0</v>
      </c>
      <c r="F152" s="10">
        <v>0</v>
      </c>
      <c r="G152" s="104">
        <f>'Bd liberation Beneduc'!D112</f>
        <v>20548.829999999973</v>
      </c>
      <c r="H152" s="10">
        <v>0</v>
      </c>
      <c r="I152" s="11">
        <f>I151-'Vision patrimoine'!$H$12</f>
        <v>5823.8600000002589</v>
      </c>
    </row>
    <row r="153" spans="3:9" x14ac:dyDescent="0.2">
      <c r="C153" s="15" t="s">
        <v>34</v>
      </c>
      <c r="D153" s="32">
        <v>2035</v>
      </c>
      <c r="E153" s="10">
        <v>0</v>
      </c>
      <c r="F153" s="10">
        <v>0</v>
      </c>
      <c r="G153" s="104">
        <f>'Bd liberation Beneduc'!D113</f>
        <v>20028.439999999973</v>
      </c>
      <c r="H153" s="10">
        <v>0</v>
      </c>
      <c r="I153" s="11">
        <f>I152-'Vision patrimoine'!$H$12</f>
        <v>5194.5700000002589</v>
      </c>
    </row>
    <row r="154" spans="3:9" x14ac:dyDescent="0.2">
      <c r="C154" s="15" t="s">
        <v>35</v>
      </c>
      <c r="D154" s="32">
        <v>2035</v>
      </c>
      <c r="E154" s="10">
        <v>0</v>
      </c>
      <c r="F154" s="10">
        <v>0</v>
      </c>
      <c r="G154" s="104">
        <f>'Bd liberation Beneduc'!D114</f>
        <v>19507.769999999975</v>
      </c>
      <c r="H154" s="10">
        <v>0</v>
      </c>
      <c r="I154" s="11">
        <f>I153-'Vision patrimoine'!$H$12</f>
        <v>4565.280000000259</v>
      </c>
    </row>
    <row r="155" spans="3:9" x14ac:dyDescent="0.2">
      <c r="C155" s="15" t="s">
        <v>36</v>
      </c>
      <c r="D155" s="32">
        <v>2035</v>
      </c>
      <c r="E155" s="10">
        <v>0</v>
      </c>
      <c r="F155" s="10">
        <v>0</v>
      </c>
      <c r="G155" s="104">
        <f>'Bd liberation Beneduc'!D115</f>
        <v>18985.669999999976</v>
      </c>
      <c r="H155" s="10">
        <v>0</v>
      </c>
      <c r="I155" s="11">
        <f>I154-'Vision patrimoine'!$H$12</f>
        <v>3935.990000000259</v>
      </c>
    </row>
    <row r="156" spans="3:9" x14ac:dyDescent="0.2">
      <c r="C156" s="15" t="s">
        <v>37</v>
      </c>
      <c r="D156" s="32">
        <v>2035</v>
      </c>
      <c r="E156" s="10">
        <v>0</v>
      </c>
      <c r="F156" s="10">
        <v>0</v>
      </c>
      <c r="G156" s="104">
        <f>'Bd liberation Beneduc'!D116</f>
        <v>18462.129999999976</v>
      </c>
      <c r="H156" s="10">
        <v>0</v>
      </c>
      <c r="I156" s="11">
        <f>I155-'Vision patrimoine'!$H$12</f>
        <v>3306.700000000259</v>
      </c>
    </row>
    <row r="157" spans="3:9" x14ac:dyDescent="0.2">
      <c r="C157" s="15" t="s">
        <v>38</v>
      </c>
      <c r="D157" s="32">
        <v>2035</v>
      </c>
      <c r="E157" s="10">
        <v>0</v>
      </c>
      <c r="F157" s="10">
        <v>0</v>
      </c>
      <c r="G157" s="104">
        <f>'Bd liberation Beneduc'!D117</f>
        <v>17937.149999999976</v>
      </c>
      <c r="H157" s="10">
        <v>0</v>
      </c>
      <c r="I157" s="11">
        <f>I156-'Vision patrimoine'!$H$12</f>
        <v>2677.4100000002591</v>
      </c>
    </row>
    <row r="158" spans="3:9" x14ac:dyDescent="0.2">
      <c r="C158" s="15" t="s">
        <v>39</v>
      </c>
      <c r="D158" s="32">
        <v>2035</v>
      </c>
      <c r="E158" s="10">
        <v>0</v>
      </c>
      <c r="F158" s="10">
        <v>0</v>
      </c>
      <c r="G158" s="104">
        <f>'Bd liberation Beneduc'!D118</f>
        <v>17410.729999999978</v>
      </c>
      <c r="H158" s="10">
        <v>0</v>
      </c>
      <c r="I158" s="11">
        <f>I157-'Vision patrimoine'!$H$12</f>
        <v>2048.1200000002591</v>
      </c>
    </row>
    <row r="159" spans="3:9" x14ac:dyDescent="0.2">
      <c r="C159" s="15" t="s">
        <v>40</v>
      </c>
      <c r="D159" s="32">
        <v>2035</v>
      </c>
      <c r="E159" s="10">
        <v>0</v>
      </c>
      <c r="F159" s="10">
        <v>0</v>
      </c>
      <c r="G159" s="104">
        <f>'Bd liberation Beneduc'!D119</f>
        <v>16882.859999999979</v>
      </c>
      <c r="H159" s="10">
        <v>0</v>
      </c>
      <c r="I159" s="11">
        <f>I158-'Vision patrimoine'!$H$12</f>
        <v>1418.8300000002591</v>
      </c>
    </row>
    <row r="160" spans="3:9" x14ac:dyDescent="0.2">
      <c r="C160" s="15" t="s">
        <v>41</v>
      </c>
      <c r="D160" s="32">
        <v>2035</v>
      </c>
      <c r="E160" s="10">
        <v>0</v>
      </c>
      <c r="F160" s="10">
        <v>0</v>
      </c>
      <c r="G160" s="104">
        <f>'Bd liberation Beneduc'!D120</f>
        <v>16353.539999999979</v>
      </c>
      <c r="H160" s="10">
        <v>0</v>
      </c>
      <c r="I160" s="11">
        <f>I159-'Vision patrimoine'!$H$12</f>
        <v>789.54000000025917</v>
      </c>
    </row>
    <row r="161" spans="3:9" x14ac:dyDescent="0.2">
      <c r="C161" s="15" t="s">
        <v>30</v>
      </c>
      <c r="D161" s="32">
        <v>2035</v>
      </c>
      <c r="E161" s="10">
        <v>0</v>
      </c>
      <c r="F161" s="10">
        <v>0</v>
      </c>
      <c r="G161" s="104">
        <f>'Bd liberation Beneduc'!D121</f>
        <v>15822.759999999978</v>
      </c>
      <c r="H161" s="10">
        <v>0</v>
      </c>
      <c r="I161" s="11">
        <f>I160-'Vision patrimoine'!$H$12</f>
        <v>160.25000000025921</v>
      </c>
    </row>
    <row r="162" spans="3:9" x14ac:dyDescent="0.2">
      <c r="C162" s="15" t="s">
        <v>31</v>
      </c>
      <c r="D162" s="32">
        <v>2035</v>
      </c>
      <c r="E162" s="10">
        <v>0</v>
      </c>
      <c r="F162" s="10">
        <v>0</v>
      </c>
      <c r="G162" s="104">
        <f>'Bd liberation Beneduc'!D122</f>
        <v>15290.519999999979</v>
      </c>
      <c r="H162" s="10">
        <v>0</v>
      </c>
      <c r="I162" s="11">
        <f>I161-'Vision patrimoine'!$H$12</f>
        <v>-469.03999999974076</v>
      </c>
    </row>
    <row r="163" spans="3:9" x14ac:dyDescent="0.2">
      <c r="C163" s="15" t="s">
        <v>32</v>
      </c>
      <c r="D163" s="32">
        <v>2036</v>
      </c>
      <c r="E163" s="10">
        <v>0</v>
      </c>
      <c r="F163" s="10">
        <v>0</v>
      </c>
      <c r="G163" s="104">
        <f>'Bd liberation Beneduc'!D123</f>
        <v>14756.819999999978</v>
      </c>
      <c r="H163" s="10">
        <v>0</v>
      </c>
      <c r="I163" s="11">
        <f>I162-'Vision patrimoine'!$H$12</f>
        <v>-1098.3299999997407</v>
      </c>
    </row>
    <row r="164" spans="3:9" x14ac:dyDescent="0.2">
      <c r="C164" s="15" t="s">
        <v>33</v>
      </c>
      <c r="D164" s="32">
        <v>2036</v>
      </c>
      <c r="E164" s="10">
        <v>0</v>
      </c>
      <c r="F164" s="10">
        <v>0</v>
      </c>
      <c r="G164" s="104">
        <f>'Bd liberation Beneduc'!D124</f>
        <v>14221.649999999978</v>
      </c>
      <c r="H164" s="10">
        <v>0</v>
      </c>
      <c r="I164" s="11">
        <f>I163-'Vision patrimoine'!$H$12</f>
        <v>-1727.6199999997407</v>
      </c>
    </row>
    <row r="165" spans="3:9" x14ac:dyDescent="0.2">
      <c r="C165" s="15" t="s">
        <v>34</v>
      </c>
      <c r="D165" s="32">
        <v>2036</v>
      </c>
      <c r="E165" s="10">
        <v>0</v>
      </c>
      <c r="F165" s="10">
        <v>0</v>
      </c>
      <c r="G165" s="104">
        <f>'Bd liberation Beneduc'!D125</f>
        <v>13685.009999999978</v>
      </c>
      <c r="H165" s="10">
        <v>0</v>
      </c>
      <c r="I165" s="11">
        <f>I164-'Vision patrimoine'!$H$12</f>
        <v>-2356.9099999997406</v>
      </c>
    </row>
    <row r="166" spans="3:9" x14ac:dyDescent="0.2">
      <c r="C166" s="15" t="s">
        <v>35</v>
      </c>
      <c r="D166" s="32">
        <v>2036</v>
      </c>
      <c r="E166" s="10">
        <v>0</v>
      </c>
      <c r="F166" s="10">
        <v>0</v>
      </c>
      <c r="G166" s="104">
        <f>'Bd liberation Beneduc'!D126</f>
        <v>13146.889999999978</v>
      </c>
      <c r="H166" s="10">
        <v>0</v>
      </c>
      <c r="I166" s="11">
        <f>I165-'Vision patrimoine'!$H$12</f>
        <v>-2986.1999999997406</v>
      </c>
    </row>
    <row r="167" spans="3:9" x14ac:dyDescent="0.2">
      <c r="C167" s="15" t="s">
        <v>36</v>
      </c>
      <c r="D167" s="32">
        <v>2036</v>
      </c>
      <c r="E167" s="10">
        <v>0</v>
      </c>
      <c r="F167" s="10">
        <v>0</v>
      </c>
      <c r="G167" s="104">
        <f>'Bd liberation Beneduc'!D127</f>
        <v>12608.589999999978</v>
      </c>
      <c r="H167" s="10">
        <v>0</v>
      </c>
      <c r="I167" s="11">
        <f>I166-'Vision patrimoine'!$H$12</f>
        <v>-3615.4899999997406</v>
      </c>
    </row>
    <row r="168" spans="3:9" x14ac:dyDescent="0.2">
      <c r="C168" s="15" t="s">
        <v>37</v>
      </c>
      <c r="D168" s="32">
        <v>2036</v>
      </c>
      <c r="E168" s="10">
        <v>0</v>
      </c>
      <c r="F168" s="10">
        <v>0</v>
      </c>
      <c r="G168" s="104">
        <f>'Bd liberation Beneduc'!D128</f>
        <v>12068.809999999978</v>
      </c>
      <c r="H168" s="10">
        <v>0</v>
      </c>
      <c r="I168" s="11">
        <f>I167-'Vision patrimoine'!$H$12</f>
        <v>-4244.7799999997405</v>
      </c>
    </row>
    <row r="169" spans="3:9" x14ac:dyDescent="0.2">
      <c r="C169" s="15" t="s">
        <v>38</v>
      </c>
      <c r="D169" s="32">
        <v>2036</v>
      </c>
      <c r="E169" s="10">
        <v>0</v>
      </c>
      <c r="F169" s="10">
        <v>0</v>
      </c>
      <c r="G169" s="104">
        <f>'Bd liberation Beneduc'!D129</f>
        <v>11527.549999999977</v>
      </c>
      <c r="H169" s="10">
        <v>0</v>
      </c>
      <c r="I169" s="11">
        <f>I168-'Vision patrimoine'!$H$12</f>
        <v>-4874.0699999997405</v>
      </c>
    </row>
    <row r="170" spans="3:9" x14ac:dyDescent="0.2">
      <c r="C170" s="15" t="s">
        <v>39</v>
      </c>
      <c r="D170" s="32">
        <v>2036</v>
      </c>
      <c r="E170" s="10">
        <v>0</v>
      </c>
      <c r="F170" s="10">
        <v>0</v>
      </c>
      <c r="G170" s="104">
        <f>'Bd liberation Beneduc'!D130</f>
        <v>10984.799999999977</v>
      </c>
      <c r="H170" s="10">
        <v>0</v>
      </c>
      <c r="I170" s="11">
        <f>I169-'Vision patrimoine'!$H$12</f>
        <v>-5503.3599999997405</v>
      </c>
    </row>
    <row r="171" spans="3:9" x14ac:dyDescent="0.2">
      <c r="C171" s="15" t="s">
        <v>40</v>
      </c>
      <c r="D171" s="32">
        <v>2036</v>
      </c>
      <c r="E171" s="10">
        <v>0</v>
      </c>
      <c r="F171" s="10">
        <v>0</v>
      </c>
      <c r="G171" s="104">
        <f>'Bd liberation Beneduc'!D131</f>
        <v>10440.559999999978</v>
      </c>
      <c r="H171" s="10">
        <v>0</v>
      </c>
      <c r="I171" s="11">
        <f>I170-'Vision patrimoine'!$H$12</f>
        <v>-6132.6499999997404</v>
      </c>
    </row>
    <row r="172" spans="3:9" x14ac:dyDescent="0.2">
      <c r="C172" s="15" t="s">
        <v>41</v>
      </c>
      <c r="D172" s="32">
        <v>2036</v>
      </c>
      <c r="E172" s="10">
        <v>0</v>
      </c>
      <c r="F172" s="10">
        <v>0</v>
      </c>
      <c r="G172" s="104">
        <f>'Bd liberation Beneduc'!D132</f>
        <v>9894.8199999999779</v>
      </c>
      <c r="H172" s="10">
        <v>0</v>
      </c>
      <c r="I172" s="11">
        <f>I171-'Vision patrimoine'!$H$12</f>
        <v>-6761.9399999997404</v>
      </c>
    </row>
    <row r="173" spans="3:9" x14ac:dyDescent="0.2">
      <c r="C173" s="15" t="s">
        <v>30</v>
      </c>
      <c r="D173" s="32">
        <v>2036</v>
      </c>
      <c r="E173" s="10">
        <v>0</v>
      </c>
      <c r="F173" s="10">
        <v>0</v>
      </c>
      <c r="G173" s="104">
        <f>'Bd liberation Beneduc'!D133</f>
        <v>9347.5799999999781</v>
      </c>
      <c r="H173" s="10">
        <v>0</v>
      </c>
      <c r="I173" s="11">
        <f>I172-'Vision patrimoine'!$H$12</f>
        <v>-7391.2299999997404</v>
      </c>
    </row>
    <row r="174" spans="3:9" x14ac:dyDescent="0.2">
      <c r="C174" s="15" t="s">
        <v>31</v>
      </c>
      <c r="D174" s="32">
        <v>2036</v>
      </c>
      <c r="E174" s="10">
        <v>0</v>
      </c>
      <c r="F174" s="10">
        <v>0</v>
      </c>
      <c r="G174" s="104">
        <f>'Bd liberation Beneduc'!D134</f>
        <v>8798.8399999999783</v>
      </c>
      <c r="H174" s="10">
        <v>0</v>
      </c>
      <c r="I174" s="11">
        <f>I173-'Vision patrimoine'!$H$12</f>
        <v>-8020.5199999997403</v>
      </c>
    </row>
    <row r="175" spans="3:9" x14ac:dyDescent="0.2">
      <c r="C175" s="15" t="s">
        <v>32</v>
      </c>
      <c r="D175" s="32">
        <v>2037</v>
      </c>
      <c r="E175" s="10">
        <v>0</v>
      </c>
      <c r="F175" s="10">
        <v>0</v>
      </c>
      <c r="G175" s="104">
        <f>'Bd liberation Beneduc'!D135</f>
        <v>8248.5899999999783</v>
      </c>
      <c r="H175" s="10">
        <v>0</v>
      </c>
      <c r="I175" s="11">
        <f>I174-'Vision patrimoine'!$H$12</f>
        <v>-8649.8099999997394</v>
      </c>
    </row>
    <row r="176" spans="3:9" x14ac:dyDescent="0.2">
      <c r="C176" s="15" t="s">
        <v>33</v>
      </c>
      <c r="D176" s="32">
        <v>2037</v>
      </c>
      <c r="E176" s="10">
        <v>0</v>
      </c>
      <c r="F176" s="10">
        <v>0</v>
      </c>
      <c r="G176" s="104">
        <f>'Bd liberation Beneduc'!D136</f>
        <v>7696.8199999999779</v>
      </c>
      <c r="H176" s="10">
        <v>0</v>
      </c>
      <c r="I176" s="11">
        <f>I175-'Vision patrimoine'!$H$12</f>
        <v>-9279.0999999997402</v>
      </c>
    </row>
    <row r="177" spans="3:9" x14ac:dyDescent="0.2">
      <c r="C177" s="15" t="s">
        <v>34</v>
      </c>
      <c r="D177" s="32">
        <v>2037</v>
      </c>
      <c r="E177" s="10">
        <v>0</v>
      </c>
      <c r="F177" s="10">
        <v>0</v>
      </c>
      <c r="G177" s="104">
        <f>'Bd liberation Beneduc'!D137</f>
        <v>7144.9299999999776</v>
      </c>
      <c r="H177" s="10">
        <v>0</v>
      </c>
      <c r="I177" s="11">
        <f>I176-'Vision patrimoine'!$H$12</f>
        <v>-9908.3899999997411</v>
      </c>
    </row>
    <row r="178" spans="3:9" x14ac:dyDescent="0.2">
      <c r="C178" s="15" t="s">
        <v>35</v>
      </c>
      <c r="D178" s="32">
        <v>2037</v>
      </c>
      <c r="E178" s="10">
        <v>0</v>
      </c>
      <c r="F178" s="10">
        <v>0</v>
      </c>
      <c r="G178" s="104">
        <f>'Bd liberation Beneduc'!D138</f>
        <v>6591.5199999999777</v>
      </c>
      <c r="H178" s="10">
        <v>0</v>
      </c>
      <c r="I178" s="11">
        <f>I177-'Vision patrimoine'!$H$12</f>
        <v>-10537.679999999742</v>
      </c>
    </row>
    <row r="179" spans="3:9" x14ac:dyDescent="0.2">
      <c r="C179" s="15" t="s">
        <v>36</v>
      </c>
      <c r="D179" s="32">
        <v>2037</v>
      </c>
      <c r="E179" s="10">
        <v>0</v>
      </c>
      <c r="F179" s="10">
        <v>0</v>
      </c>
      <c r="G179" s="104">
        <f>'Bd liberation Beneduc'!D139</f>
        <v>6036.5899999999774</v>
      </c>
      <c r="H179" s="10">
        <v>0</v>
      </c>
      <c r="I179" s="11">
        <f>I178-'Vision patrimoine'!$H$12</f>
        <v>-11166.969999999743</v>
      </c>
    </row>
    <row r="180" spans="3:9" x14ac:dyDescent="0.2">
      <c r="C180" s="15" t="s">
        <v>37</v>
      </c>
      <c r="D180" s="32">
        <v>2037</v>
      </c>
      <c r="E180" s="10">
        <v>0</v>
      </c>
      <c r="F180" s="10">
        <v>0</v>
      </c>
      <c r="G180" s="104">
        <f>'Bd liberation Beneduc'!D140</f>
        <v>5480.1299999999774</v>
      </c>
      <c r="H180" s="10">
        <v>0</v>
      </c>
      <c r="I180" s="11">
        <f>I179-'Vision patrimoine'!$H$12</f>
        <v>-11796.259999999744</v>
      </c>
    </row>
    <row r="181" spans="3:9" x14ac:dyDescent="0.2">
      <c r="C181" s="15" t="s">
        <v>38</v>
      </c>
      <c r="D181" s="32">
        <v>2037</v>
      </c>
      <c r="E181" s="10">
        <v>0</v>
      </c>
      <c r="F181" s="10">
        <v>0</v>
      </c>
      <c r="G181" s="104">
        <f>'Bd liberation Beneduc'!D141</f>
        <v>4922.1399999999776</v>
      </c>
      <c r="H181" s="10">
        <v>0</v>
      </c>
      <c r="I181" s="11">
        <f>I180-'Vision patrimoine'!$H$12</f>
        <v>-12425.549999999745</v>
      </c>
    </row>
    <row r="182" spans="3:9" x14ac:dyDescent="0.2">
      <c r="C182" s="15" t="s">
        <v>39</v>
      </c>
      <c r="D182" s="32">
        <v>2037</v>
      </c>
      <c r="E182" s="10">
        <v>0</v>
      </c>
      <c r="F182" s="10">
        <v>0</v>
      </c>
      <c r="G182" s="104">
        <f>'Bd liberation Beneduc'!D142</f>
        <v>4362.6199999999772</v>
      </c>
      <c r="H182" s="10">
        <v>0</v>
      </c>
      <c r="I182" s="11">
        <f>I181-'Vision patrimoine'!$H$12</f>
        <v>-13054.839999999745</v>
      </c>
    </row>
    <row r="183" spans="3:9" x14ac:dyDescent="0.2">
      <c r="C183" s="15" t="s">
        <v>40</v>
      </c>
      <c r="D183" s="32">
        <v>2037</v>
      </c>
      <c r="E183" s="10">
        <v>0</v>
      </c>
      <c r="F183" s="10">
        <v>0</v>
      </c>
      <c r="G183" s="104">
        <f>'Bd liberation Beneduc'!D143</f>
        <v>3801.5599999999772</v>
      </c>
      <c r="H183" s="10">
        <v>0</v>
      </c>
      <c r="I183" s="11">
        <f>I182-'Vision patrimoine'!$H$12</f>
        <v>-13684.129999999746</v>
      </c>
    </row>
    <row r="184" spans="3:9" x14ac:dyDescent="0.2">
      <c r="C184" s="15" t="s">
        <v>41</v>
      </c>
      <c r="D184" s="32">
        <v>2037</v>
      </c>
      <c r="E184" s="10">
        <v>0</v>
      </c>
      <c r="F184" s="10">
        <v>0</v>
      </c>
      <c r="G184" s="104">
        <f>'Bd liberation Beneduc'!D144</f>
        <v>3238.9499999999771</v>
      </c>
      <c r="H184" s="10">
        <v>0</v>
      </c>
      <c r="I184" s="11">
        <f>I183-'Vision patrimoine'!$H$12</f>
        <v>-14313.419999999747</v>
      </c>
    </row>
    <row r="185" spans="3:9" x14ac:dyDescent="0.2">
      <c r="C185" s="15" t="s">
        <v>30</v>
      </c>
      <c r="D185" s="32">
        <v>2037</v>
      </c>
      <c r="E185" s="10">
        <v>0</v>
      </c>
      <c r="F185" s="10">
        <v>0</v>
      </c>
      <c r="G185" s="104">
        <f>'Bd liberation Beneduc'!D145</f>
        <v>2674.799999999977</v>
      </c>
      <c r="H185" s="10">
        <v>0</v>
      </c>
      <c r="I185" s="11">
        <f>I184-'Vision patrimoine'!$H$12</f>
        <v>-14942.709999999748</v>
      </c>
    </row>
    <row r="186" spans="3:9" x14ac:dyDescent="0.2">
      <c r="C186" s="15" t="s">
        <v>31</v>
      </c>
      <c r="D186" s="32">
        <v>2037</v>
      </c>
      <c r="E186" s="10">
        <v>0</v>
      </c>
      <c r="F186" s="10">
        <v>0</v>
      </c>
      <c r="G186" s="104">
        <f>'Bd liberation Beneduc'!D146</f>
        <v>2109.0999999999767</v>
      </c>
      <c r="H186" s="10">
        <v>0</v>
      </c>
      <c r="I186" s="11">
        <f>I185-'Vision patrimoine'!$H$12</f>
        <v>-15571.999999999749</v>
      </c>
    </row>
    <row r="187" spans="3:9" x14ac:dyDescent="0.2">
      <c r="C187" s="15" t="s">
        <v>32</v>
      </c>
      <c r="D187" s="32">
        <v>2038</v>
      </c>
      <c r="E187" s="10">
        <v>0</v>
      </c>
      <c r="F187" s="10">
        <v>0</v>
      </c>
      <c r="G187" s="104">
        <f>'Bd liberation Beneduc'!D147</f>
        <v>1541.8399999999765</v>
      </c>
      <c r="H187" s="10">
        <v>0</v>
      </c>
      <c r="I187" s="11">
        <f>I186-'Vision patrimoine'!$H$12</f>
        <v>-16201.28999999975</v>
      </c>
    </row>
    <row r="188" spans="3:9" x14ac:dyDescent="0.2">
      <c r="C188" s="15" t="s">
        <v>33</v>
      </c>
      <c r="D188" s="32">
        <v>2038</v>
      </c>
      <c r="E188" s="10">
        <v>0</v>
      </c>
      <c r="F188" s="10">
        <v>0</v>
      </c>
      <c r="G188" s="104">
        <f>'Bd liberation Beneduc'!D148</f>
        <v>973.01999999997645</v>
      </c>
      <c r="H188" s="10">
        <v>0</v>
      </c>
      <c r="I188" s="11">
        <f>I187-'Vision patrimoine'!$H$12</f>
        <v>-16830.579999999751</v>
      </c>
    </row>
    <row r="189" spans="3:9" x14ac:dyDescent="0.2">
      <c r="C189" s="15" t="s">
        <v>34</v>
      </c>
      <c r="D189" s="32">
        <v>2038</v>
      </c>
      <c r="E189" s="10">
        <v>0</v>
      </c>
      <c r="F189" s="10">
        <v>0</v>
      </c>
      <c r="G189" s="10">
        <v>0</v>
      </c>
      <c r="H189" s="10">
        <v>0</v>
      </c>
      <c r="I189" s="11">
        <f>I188-'Vision patrimoine'!$H$12</f>
        <v>-17459.869999999752</v>
      </c>
    </row>
    <row r="190" spans="3:9" x14ac:dyDescent="0.2">
      <c r="C190" s="15" t="s">
        <v>35</v>
      </c>
      <c r="D190" s="32">
        <v>2038</v>
      </c>
      <c r="E190" s="10">
        <v>0</v>
      </c>
      <c r="F190" s="10">
        <v>0</v>
      </c>
      <c r="G190" s="10">
        <v>0</v>
      </c>
      <c r="H190" s="10">
        <v>0</v>
      </c>
      <c r="I190" s="11">
        <f>I189-'Vision patrimoine'!$H$12</f>
        <v>-18089.159999999752</v>
      </c>
    </row>
    <row r="191" spans="3:9" x14ac:dyDescent="0.2">
      <c r="C191" s="15" t="s">
        <v>36</v>
      </c>
      <c r="D191" s="32">
        <v>2038</v>
      </c>
      <c r="E191" s="13">
        <v>0</v>
      </c>
      <c r="F191" s="13">
        <v>0</v>
      </c>
      <c r="G191" s="13">
        <v>0</v>
      </c>
      <c r="H191" s="13">
        <v>0</v>
      </c>
      <c r="I191" s="14">
        <f>I190-'Vision patrimoine'!$H$12</f>
        <v>-18718.449999999753</v>
      </c>
    </row>
    <row r="193" spans="4:4" hidden="1" x14ac:dyDescent="0.2">
      <c r="D193" s="32">
        <v>2022</v>
      </c>
    </row>
    <row r="194" spans="4:4" hidden="1" x14ac:dyDescent="0.2">
      <c r="D194" s="32">
        <v>2023</v>
      </c>
    </row>
    <row r="195" spans="4:4" hidden="1" x14ac:dyDescent="0.2">
      <c r="D195" s="32">
        <v>2024</v>
      </c>
    </row>
    <row r="196" spans="4:4" hidden="1" x14ac:dyDescent="0.2">
      <c r="D196" s="32">
        <v>2025</v>
      </c>
    </row>
    <row r="197" spans="4:4" hidden="1" x14ac:dyDescent="0.2">
      <c r="D197" s="32">
        <v>2026</v>
      </c>
    </row>
    <row r="198" spans="4:4" hidden="1" x14ac:dyDescent="0.2">
      <c r="D198" s="32">
        <v>2027</v>
      </c>
    </row>
    <row r="199" spans="4:4" hidden="1" x14ac:dyDescent="0.2">
      <c r="D199" s="32">
        <v>2028</v>
      </c>
    </row>
    <row r="200" spans="4:4" hidden="1" x14ac:dyDescent="0.2">
      <c r="D200" s="32">
        <v>2029</v>
      </c>
    </row>
    <row r="201" spans="4:4" hidden="1" x14ac:dyDescent="0.2">
      <c r="D201" s="32">
        <v>2030</v>
      </c>
    </row>
    <row r="202" spans="4:4" hidden="1" x14ac:dyDescent="0.2">
      <c r="D202" s="32">
        <v>2031</v>
      </c>
    </row>
    <row r="203" spans="4:4" hidden="1" x14ac:dyDescent="0.2">
      <c r="D203" s="32">
        <v>2032</v>
      </c>
    </row>
    <row r="204" spans="4:4" hidden="1" x14ac:dyDescent="0.2">
      <c r="D204" s="32">
        <v>2033</v>
      </c>
    </row>
    <row r="205" spans="4:4" hidden="1" x14ac:dyDescent="0.2">
      <c r="D205" s="32">
        <v>2034</v>
      </c>
    </row>
    <row r="206" spans="4:4" hidden="1" x14ac:dyDescent="0.2">
      <c r="D206" s="32">
        <v>2035</v>
      </c>
    </row>
    <row r="207" spans="4:4" hidden="1" x14ac:dyDescent="0.2">
      <c r="D207" s="32">
        <v>2036</v>
      </c>
    </row>
    <row r="208" spans="4:4" hidden="1" x14ac:dyDescent="0.2">
      <c r="D208" s="32">
        <v>2037</v>
      </c>
    </row>
    <row r="209" spans="4:4" hidden="1" x14ac:dyDescent="0.2">
      <c r="D209" s="32">
        <v>2038</v>
      </c>
    </row>
    <row r="210" spans="4:4" hidden="1" x14ac:dyDescent="0.2"/>
  </sheetData>
  <mergeCells count="1">
    <mergeCell ref="C2:I2"/>
  </mergeCells>
  <phoneticPr fontId="13" type="noConversion"/>
  <dataValidations disablePrompts="1" count="2">
    <dataValidation type="list" allowBlank="1" showInputMessage="1" showErrorMessage="1" sqref="K8" xr:uid="{5FE3BC6D-21B0-4564-9B7D-A34F533ABA9D}">
      <formula1>mois</formula1>
    </dataValidation>
    <dataValidation type="list" allowBlank="1" showInputMessage="1" showErrorMessage="1" sqref="K9" xr:uid="{F326DD17-5C59-4936-97D1-716B8EDF6655}">
      <formula1>année</formula1>
    </dataValidation>
  </dataValidations>
  <pageMargins left="0.7" right="0.7" top="0.75" bottom="0.75" header="0.3" footer="0.3"/>
  <pageSetup paperSize="9" orientation="portrait" verticalDpi="0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8C541-6D13-E64D-9CD0-47F5EA6506D3}">
  <sheetPr>
    <tabColor theme="8" tint="-0.249977111117893"/>
  </sheetPr>
  <dimension ref="B1:J162"/>
  <sheetViews>
    <sheetView topLeftCell="C1" workbookViewId="0"/>
  </sheetViews>
  <sheetFormatPr baseColWidth="10" defaultRowHeight="16" x14ac:dyDescent="0.2"/>
  <cols>
    <col min="1" max="1" width="1.1640625" customWidth="1"/>
    <col min="2" max="2" width="71.33203125" style="31" customWidth="1"/>
    <col min="3" max="3" width="70.6640625" style="31" customWidth="1"/>
    <col min="4" max="4" width="55.83203125" customWidth="1"/>
    <col min="6" max="6" width="30.5" style="101" customWidth="1"/>
    <col min="7" max="7" width="14" customWidth="1"/>
    <col min="8" max="10" width="0" hidden="1" customWidth="1"/>
  </cols>
  <sheetData>
    <row r="1" spans="2:7" ht="3" customHeight="1" x14ac:dyDescent="0.2"/>
    <row r="2" spans="2:7" ht="60" x14ac:dyDescent="0.2">
      <c r="B2" s="150" t="s">
        <v>58</v>
      </c>
      <c r="C2" s="150"/>
      <c r="D2" s="150"/>
      <c r="E2" s="150"/>
      <c r="F2" s="102"/>
      <c r="G2" s="99"/>
    </row>
    <row r="3" spans="2:7" ht="2.25" customHeight="1" x14ac:dyDescent="0.2"/>
    <row r="4" spans="2:7" ht="50" customHeight="1" x14ac:dyDescent="0.2">
      <c r="B4" s="33" t="s">
        <v>28</v>
      </c>
      <c r="C4" s="33" t="s">
        <v>29</v>
      </c>
      <c r="D4" s="91" t="s">
        <v>55</v>
      </c>
      <c r="E4" s="93" t="s">
        <v>53</v>
      </c>
      <c r="F4" s="103" t="s">
        <v>65</v>
      </c>
      <c r="G4" s="100" t="s">
        <v>67</v>
      </c>
    </row>
    <row r="5" spans="2:7" x14ac:dyDescent="0.2">
      <c r="B5" s="15" t="s">
        <v>36</v>
      </c>
      <c r="C5" s="89">
        <v>2023</v>
      </c>
      <c r="D5" s="92">
        <f>'Vision patrimoine'!$E$34</f>
        <v>95000</v>
      </c>
      <c r="E5" s="1">
        <v>498.76</v>
      </c>
      <c r="F5" s="104"/>
      <c r="G5" s="24"/>
    </row>
    <row r="6" spans="2:7" x14ac:dyDescent="0.2">
      <c r="B6" s="15" t="s">
        <v>37</v>
      </c>
      <c r="C6" s="89">
        <v>2023</v>
      </c>
      <c r="D6" s="92">
        <f>D5-$E6</f>
        <v>94498.774999999994</v>
      </c>
      <c r="E6" s="94">
        <f>E5+2.465</f>
        <v>501.22499999999997</v>
      </c>
      <c r="F6" s="104"/>
      <c r="G6" s="94"/>
    </row>
    <row r="7" spans="2:7" x14ac:dyDescent="0.2">
      <c r="B7" s="15" t="s">
        <v>38</v>
      </c>
      <c r="C7" s="89">
        <v>2023</v>
      </c>
      <c r="D7" s="92">
        <f t="shared" ref="D7:D70" si="0">D6-$E7</f>
        <v>93995.084999999992</v>
      </c>
      <c r="E7" s="94">
        <f t="shared" ref="E7:E70" si="1">E6+2.465</f>
        <v>503.68999999999994</v>
      </c>
      <c r="F7" s="104"/>
      <c r="G7" s="94"/>
    </row>
    <row r="8" spans="2:7" x14ac:dyDescent="0.2">
      <c r="B8" s="15" t="s">
        <v>39</v>
      </c>
      <c r="C8" s="89">
        <v>2023</v>
      </c>
      <c r="D8" s="92">
        <f t="shared" si="0"/>
        <v>93488.93</v>
      </c>
      <c r="E8" s="94">
        <f t="shared" si="1"/>
        <v>506.15499999999992</v>
      </c>
      <c r="F8" s="104"/>
      <c r="G8" s="94"/>
    </row>
    <row r="9" spans="2:7" x14ac:dyDescent="0.2">
      <c r="B9" s="15" t="s">
        <v>40</v>
      </c>
      <c r="C9" s="89">
        <v>2023</v>
      </c>
      <c r="D9" s="92">
        <f t="shared" si="0"/>
        <v>92980.31</v>
      </c>
      <c r="E9" s="94">
        <f t="shared" si="1"/>
        <v>508.61999999999989</v>
      </c>
      <c r="F9" s="104"/>
      <c r="G9" s="94"/>
    </row>
    <row r="10" spans="2:7" x14ac:dyDescent="0.2">
      <c r="B10" s="15" t="s">
        <v>41</v>
      </c>
      <c r="C10" s="89">
        <v>2023</v>
      </c>
      <c r="D10" s="92">
        <f t="shared" si="0"/>
        <v>92469.224999999991</v>
      </c>
      <c r="E10" s="94">
        <f t="shared" si="1"/>
        <v>511.08499999999987</v>
      </c>
      <c r="F10" s="104"/>
      <c r="G10" s="94"/>
    </row>
    <row r="11" spans="2:7" x14ac:dyDescent="0.2">
      <c r="B11" s="15" t="s">
        <v>30</v>
      </c>
      <c r="C11" s="89">
        <v>2023</v>
      </c>
      <c r="D11" s="92">
        <f t="shared" si="0"/>
        <v>91955.674999999988</v>
      </c>
      <c r="E11" s="94">
        <f t="shared" si="1"/>
        <v>513.54999999999984</v>
      </c>
      <c r="F11" s="104"/>
      <c r="G11" s="94"/>
    </row>
    <row r="12" spans="2:7" x14ac:dyDescent="0.2">
      <c r="B12" s="15" t="s">
        <v>31</v>
      </c>
      <c r="C12" s="89">
        <v>2023</v>
      </c>
      <c r="D12" s="92">
        <f t="shared" si="0"/>
        <v>91439.659999999989</v>
      </c>
      <c r="E12" s="94">
        <f t="shared" si="1"/>
        <v>516.01499999999987</v>
      </c>
      <c r="F12" s="104"/>
      <c r="G12" s="94"/>
    </row>
    <row r="13" spans="2:7" x14ac:dyDescent="0.2">
      <c r="B13" s="15" t="s">
        <v>32</v>
      </c>
      <c r="C13" s="89">
        <v>2024</v>
      </c>
      <c r="D13" s="92">
        <f t="shared" si="0"/>
        <v>90921.18</v>
      </c>
      <c r="E13" s="94">
        <f t="shared" si="1"/>
        <v>518.4799999999999</v>
      </c>
      <c r="F13" s="104"/>
      <c r="G13" s="94"/>
    </row>
    <row r="14" spans="2:7" x14ac:dyDescent="0.2">
      <c r="B14" s="15" t="s">
        <v>33</v>
      </c>
      <c r="C14" s="89">
        <v>2024</v>
      </c>
      <c r="D14" s="92">
        <f t="shared" si="0"/>
        <v>90400.234999999986</v>
      </c>
      <c r="E14" s="94">
        <f t="shared" si="1"/>
        <v>520.94499999999994</v>
      </c>
      <c r="F14" s="104"/>
      <c r="G14" s="94"/>
    </row>
    <row r="15" spans="2:7" x14ac:dyDescent="0.2">
      <c r="B15" s="15" t="s">
        <v>34</v>
      </c>
      <c r="C15" s="89">
        <v>2024</v>
      </c>
      <c r="D15" s="92">
        <f t="shared" si="0"/>
        <v>89876.824999999983</v>
      </c>
      <c r="E15" s="94">
        <f t="shared" si="1"/>
        <v>523.41</v>
      </c>
      <c r="F15" s="104"/>
      <c r="G15" s="94"/>
    </row>
    <row r="16" spans="2:7" x14ac:dyDescent="0.2">
      <c r="B16" s="15" t="s">
        <v>35</v>
      </c>
      <c r="C16" s="89">
        <v>2024</v>
      </c>
      <c r="D16" s="92">
        <f t="shared" si="0"/>
        <v>89350.949999999983</v>
      </c>
      <c r="E16" s="94">
        <f t="shared" si="1"/>
        <v>525.875</v>
      </c>
      <c r="F16" s="104"/>
      <c r="G16" s="94"/>
    </row>
    <row r="17" spans="2:10" x14ac:dyDescent="0.2">
      <c r="B17" s="15" t="s">
        <v>36</v>
      </c>
      <c r="C17" s="89">
        <v>2024</v>
      </c>
      <c r="D17" s="92">
        <f t="shared" si="0"/>
        <v>88822.609999999986</v>
      </c>
      <c r="E17" s="94">
        <f t="shared" si="1"/>
        <v>528.34</v>
      </c>
      <c r="F17" s="104"/>
      <c r="G17" s="94"/>
    </row>
    <row r="18" spans="2:10" x14ac:dyDescent="0.2">
      <c r="B18" s="15" t="s">
        <v>37</v>
      </c>
      <c r="C18" s="89">
        <v>2024</v>
      </c>
      <c r="D18" s="92">
        <f t="shared" si="0"/>
        <v>88291.804999999993</v>
      </c>
      <c r="E18" s="94">
        <f t="shared" si="1"/>
        <v>530.80500000000006</v>
      </c>
      <c r="F18" s="104"/>
      <c r="G18" s="94"/>
    </row>
    <row r="19" spans="2:10" x14ac:dyDescent="0.2">
      <c r="B19" s="15" t="s">
        <v>38</v>
      </c>
      <c r="C19" s="89">
        <v>2024</v>
      </c>
      <c r="D19" s="92">
        <f t="shared" si="0"/>
        <v>87758.534999999989</v>
      </c>
      <c r="E19" s="94">
        <f t="shared" si="1"/>
        <v>533.2700000000001</v>
      </c>
      <c r="F19" s="104"/>
      <c r="G19" s="94"/>
    </row>
    <row r="20" spans="2:10" x14ac:dyDescent="0.2">
      <c r="B20" s="15" t="s">
        <v>39</v>
      </c>
      <c r="C20" s="89">
        <v>2024</v>
      </c>
      <c r="D20" s="92">
        <f t="shared" si="0"/>
        <v>87222.799999999988</v>
      </c>
      <c r="E20" s="94">
        <f t="shared" si="1"/>
        <v>535.73500000000013</v>
      </c>
      <c r="F20" s="104"/>
      <c r="G20" s="94"/>
    </row>
    <row r="21" spans="2:10" x14ac:dyDescent="0.2">
      <c r="B21" s="15" t="s">
        <v>40</v>
      </c>
      <c r="C21" s="89">
        <v>2024</v>
      </c>
      <c r="D21" s="92">
        <f t="shared" si="0"/>
        <v>86684.599999999991</v>
      </c>
      <c r="E21" s="94">
        <f t="shared" si="1"/>
        <v>538.20000000000016</v>
      </c>
      <c r="F21" s="104"/>
      <c r="G21" s="94"/>
    </row>
    <row r="22" spans="2:10" x14ac:dyDescent="0.2">
      <c r="B22" s="15" t="s">
        <v>41</v>
      </c>
      <c r="C22" s="89">
        <v>2024</v>
      </c>
      <c r="D22" s="92">
        <f t="shared" si="0"/>
        <v>86143.934999999998</v>
      </c>
      <c r="E22" s="94">
        <f t="shared" si="1"/>
        <v>540.66500000000019</v>
      </c>
      <c r="F22" s="104"/>
      <c r="G22" s="94"/>
    </row>
    <row r="23" spans="2:10" x14ac:dyDescent="0.2">
      <c r="B23" s="15" t="s">
        <v>30</v>
      </c>
      <c r="C23" s="89">
        <v>2024</v>
      </c>
      <c r="D23" s="92">
        <f t="shared" si="0"/>
        <v>85600.804999999993</v>
      </c>
      <c r="E23" s="94">
        <f t="shared" si="1"/>
        <v>543.13000000000022</v>
      </c>
      <c r="F23" s="104"/>
      <c r="G23" s="94"/>
    </row>
    <row r="24" spans="2:10" x14ac:dyDescent="0.2">
      <c r="B24" s="15" t="s">
        <v>31</v>
      </c>
      <c r="C24" s="89">
        <v>2024</v>
      </c>
      <c r="D24" s="92">
        <f t="shared" si="0"/>
        <v>85055.209999999992</v>
      </c>
      <c r="E24" s="94">
        <f t="shared" si="1"/>
        <v>545.59500000000025</v>
      </c>
      <c r="F24" s="104"/>
      <c r="G24" s="94"/>
    </row>
    <row r="25" spans="2:10" x14ac:dyDescent="0.2">
      <c r="B25" s="15" t="s">
        <v>32</v>
      </c>
      <c r="C25" s="89">
        <v>2025</v>
      </c>
      <c r="D25" s="92">
        <f t="shared" si="0"/>
        <v>84507.15</v>
      </c>
      <c r="E25" s="94">
        <f t="shared" si="1"/>
        <v>548.06000000000029</v>
      </c>
      <c r="F25" s="104"/>
      <c r="G25" s="94"/>
    </row>
    <row r="26" spans="2:10" x14ac:dyDescent="0.2">
      <c r="B26" s="15" t="s">
        <v>33</v>
      </c>
      <c r="C26" s="89">
        <v>2025</v>
      </c>
      <c r="D26" s="92">
        <f t="shared" si="0"/>
        <v>83956.625</v>
      </c>
      <c r="E26" s="94">
        <f t="shared" si="1"/>
        <v>550.52500000000032</v>
      </c>
      <c r="F26" s="104"/>
      <c r="G26" s="1"/>
    </row>
    <row r="27" spans="2:10" x14ac:dyDescent="0.2">
      <c r="B27" s="15" t="s">
        <v>34</v>
      </c>
      <c r="C27" s="89">
        <v>2025</v>
      </c>
      <c r="D27" s="92">
        <f t="shared" si="0"/>
        <v>83403.634999999995</v>
      </c>
      <c r="E27" s="94">
        <f t="shared" si="1"/>
        <v>552.99000000000035</v>
      </c>
      <c r="F27" s="104">
        <f>'Vision patrimoine'!E35</f>
        <v>90000</v>
      </c>
      <c r="G27" s="1">
        <f t="shared" ref="G27:G90" si="2">ROUND(865.685421504164 - H27, 2)</f>
        <v>528.19000000000005</v>
      </c>
      <c r="H27">
        <f t="shared" ref="H27:H90" si="3">ROUND(F27 * 0.00375, 2)</f>
        <v>337.5</v>
      </c>
      <c r="I27">
        <v>51.3</v>
      </c>
      <c r="J27">
        <f t="shared" ref="J27:J90" si="4">ROUND(865.685421504164 + I27, 2)</f>
        <v>916.99</v>
      </c>
    </row>
    <row r="28" spans="2:10" x14ac:dyDescent="0.2">
      <c r="B28" s="15" t="s">
        <v>35</v>
      </c>
      <c r="C28" s="89">
        <v>2025</v>
      </c>
      <c r="D28" s="92">
        <f t="shared" si="0"/>
        <v>82848.179999999993</v>
      </c>
      <c r="E28" s="94">
        <f t="shared" si="1"/>
        <v>555.45500000000038</v>
      </c>
      <c r="F28" s="104">
        <f t="shared" ref="F28:F91" si="5">F27 - G27</f>
        <v>89471.81</v>
      </c>
      <c r="G28" s="1">
        <f t="shared" si="2"/>
        <v>530.16999999999996</v>
      </c>
      <c r="H28">
        <f t="shared" si="3"/>
        <v>335.52</v>
      </c>
      <c r="I28">
        <v>51.3</v>
      </c>
      <c r="J28">
        <f t="shared" si="4"/>
        <v>916.99</v>
      </c>
    </row>
    <row r="29" spans="2:10" x14ac:dyDescent="0.2">
      <c r="B29" s="15" t="s">
        <v>36</v>
      </c>
      <c r="C29" s="89">
        <v>2025</v>
      </c>
      <c r="D29" s="92">
        <f t="shared" si="0"/>
        <v>82290.259999999995</v>
      </c>
      <c r="E29" s="94">
        <f t="shared" si="1"/>
        <v>557.92000000000041</v>
      </c>
      <c r="F29" s="104">
        <f t="shared" si="5"/>
        <v>88941.64</v>
      </c>
      <c r="G29" s="1">
        <f t="shared" si="2"/>
        <v>532.16</v>
      </c>
      <c r="H29">
        <f t="shared" si="3"/>
        <v>333.53</v>
      </c>
      <c r="I29">
        <v>51.3</v>
      </c>
      <c r="J29">
        <f t="shared" si="4"/>
        <v>916.99</v>
      </c>
    </row>
    <row r="30" spans="2:10" x14ac:dyDescent="0.2">
      <c r="B30" s="15" t="s">
        <v>37</v>
      </c>
      <c r="C30" s="89">
        <v>2025</v>
      </c>
      <c r="D30" s="92">
        <f t="shared" si="0"/>
        <v>81729.875</v>
      </c>
      <c r="E30" s="94">
        <f t="shared" si="1"/>
        <v>560.38500000000045</v>
      </c>
      <c r="F30" s="104">
        <f t="shared" si="5"/>
        <v>88409.48</v>
      </c>
      <c r="G30" s="1">
        <f t="shared" si="2"/>
        <v>534.15</v>
      </c>
      <c r="H30">
        <f t="shared" si="3"/>
        <v>331.54</v>
      </c>
      <c r="I30">
        <v>51.3</v>
      </c>
      <c r="J30">
        <f t="shared" si="4"/>
        <v>916.99</v>
      </c>
    </row>
    <row r="31" spans="2:10" x14ac:dyDescent="0.2">
      <c r="B31" s="15" t="s">
        <v>38</v>
      </c>
      <c r="C31" s="89">
        <v>2025</v>
      </c>
      <c r="D31" s="92">
        <f t="shared" si="0"/>
        <v>81167.024999999994</v>
      </c>
      <c r="E31" s="94">
        <f t="shared" si="1"/>
        <v>562.85000000000048</v>
      </c>
      <c r="F31" s="104">
        <f t="shared" si="5"/>
        <v>87875.33</v>
      </c>
      <c r="G31" s="1">
        <f t="shared" si="2"/>
        <v>536.16</v>
      </c>
      <c r="H31">
        <f t="shared" si="3"/>
        <v>329.53</v>
      </c>
      <c r="I31">
        <v>51.3</v>
      </c>
      <c r="J31">
        <f t="shared" si="4"/>
        <v>916.99</v>
      </c>
    </row>
    <row r="32" spans="2:10" x14ac:dyDescent="0.2">
      <c r="B32" s="15" t="s">
        <v>39</v>
      </c>
      <c r="C32" s="89">
        <v>2025</v>
      </c>
      <c r="D32" s="92">
        <f t="shared" si="0"/>
        <v>80601.709999999992</v>
      </c>
      <c r="E32" s="94">
        <f t="shared" si="1"/>
        <v>565.31500000000051</v>
      </c>
      <c r="F32" s="104">
        <f t="shared" si="5"/>
        <v>87339.17</v>
      </c>
      <c r="G32" s="1">
        <f t="shared" si="2"/>
        <v>538.16999999999996</v>
      </c>
      <c r="H32">
        <f t="shared" si="3"/>
        <v>327.52</v>
      </c>
      <c r="I32">
        <v>51.3</v>
      </c>
      <c r="J32">
        <f t="shared" si="4"/>
        <v>916.99</v>
      </c>
    </row>
    <row r="33" spans="2:10" x14ac:dyDescent="0.2">
      <c r="B33" s="15" t="s">
        <v>40</v>
      </c>
      <c r="C33" s="89">
        <v>2025</v>
      </c>
      <c r="D33" s="92">
        <f t="shared" si="0"/>
        <v>80033.929999999993</v>
      </c>
      <c r="E33" s="94">
        <f t="shared" si="1"/>
        <v>567.78000000000054</v>
      </c>
      <c r="F33" s="104">
        <f t="shared" si="5"/>
        <v>86801</v>
      </c>
      <c r="G33" s="1">
        <f t="shared" si="2"/>
        <v>540.19000000000005</v>
      </c>
      <c r="H33">
        <f t="shared" si="3"/>
        <v>325.5</v>
      </c>
      <c r="I33">
        <v>51.3</v>
      </c>
      <c r="J33">
        <f t="shared" si="4"/>
        <v>916.99</v>
      </c>
    </row>
    <row r="34" spans="2:10" x14ac:dyDescent="0.2">
      <c r="B34" s="15" t="s">
        <v>41</v>
      </c>
      <c r="C34" s="89">
        <v>2025</v>
      </c>
      <c r="D34" s="92">
        <f t="shared" si="0"/>
        <v>79463.684999999998</v>
      </c>
      <c r="E34" s="94">
        <f t="shared" si="1"/>
        <v>570.24500000000057</v>
      </c>
      <c r="F34" s="104">
        <f t="shared" si="5"/>
        <v>86260.81</v>
      </c>
      <c r="G34" s="1">
        <f t="shared" si="2"/>
        <v>542.21</v>
      </c>
      <c r="H34">
        <f t="shared" si="3"/>
        <v>323.48</v>
      </c>
      <c r="I34">
        <v>51.3</v>
      </c>
      <c r="J34">
        <f t="shared" si="4"/>
        <v>916.99</v>
      </c>
    </row>
    <row r="35" spans="2:10" x14ac:dyDescent="0.2">
      <c r="B35" s="15" t="s">
        <v>30</v>
      </c>
      <c r="C35" s="89">
        <v>2025</v>
      </c>
      <c r="D35" s="92">
        <f t="shared" si="0"/>
        <v>78890.974999999991</v>
      </c>
      <c r="E35" s="94">
        <f t="shared" si="1"/>
        <v>572.7100000000006</v>
      </c>
      <c r="F35" s="104">
        <f t="shared" si="5"/>
        <v>85718.599999999991</v>
      </c>
      <c r="G35" s="1">
        <f t="shared" si="2"/>
        <v>544.25</v>
      </c>
      <c r="H35">
        <f t="shared" si="3"/>
        <v>321.44</v>
      </c>
      <c r="I35">
        <v>51.3</v>
      </c>
      <c r="J35">
        <f t="shared" si="4"/>
        <v>916.99</v>
      </c>
    </row>
    <row r="36" spans="2:10" x14ac:dyDescent="0.2">
      <c r="B36" s="15" t="s">
        <v>31</v>
      </c>
      <c r="C36" s="89">
        <v>2025</v>
      </c>
      <c r="D36" s="92">
        <f t="shared" si="0"/>
        <v>78315.799999999988</v>
      </c>
      <c r="E36" s="94">
        <f t="shared" si="1"/>
        <v>575.17500000000064</v>
      </c>
      <c r="F36" s="104">
        <f t="shared" si="5"/>
        <v>85174.349999999991</v>
      </c>
      <c r="G36" s="1">
        <f t="shared" si="2"/>
        <v>546.29</v>
      </c>
      <c r="H36">
        <f t="shared" si="3"/>
        <v>319.39999999999998</v>
      </c>
      <c r="I36">
        <v>51.3</v>
      </c>
      <c r="J36">
        <f t="shared" si="4"/>
        <v>916.99</v>
      </c>
    </row>
    <row r="37" spans="2:10" x14ac:dyDescent="0.2">
      <c r="B37" s="15" t="s">
        <v>32</v>
      </c>
      <c r="C37" s="89">
        <v>2026</v>
      </c>
      <c r="D37" s="92">
        <f t="shared" si="0"/>
        <v>77738.159999999989</v>
      </c>
      <c r="E37" s="94">
        <f t="shared" si="1"/>
        <v>577.64000000000067</v>
      </c>
      <c r="F37" s="104">
        <f t="shared" si="5"/>
        <v>84628.06</v>
      </c>
      <c r="G37" s="1">
        <f t="shared" si="2"/>
        <v>548.33000000000004</v>
      </c>
      <c r="H37">
        <f t="shared" si="3"/>
        <v>317.36</v>
      </c>
      <c r="I37">
        <v>51.3</v>
      </c>
      <c r="J37">
        <f t="shared" si="4"/>
        <v>916.99</v>
      </c>
    </row>
    <row r="38" spans="2:10" x14ac:dyDescent="0.2">
      <c r="B38" s="15" t="s">
        <v>33</v>
      </c>
      <c r="C38" s="89">
        <v>2026</v>
      </c>
      <c r="D38" s="92">
        <f t="shared" si="0"/>
        <v>77158.054999999993</v>
      </c>
      <c r="E38" s="94">
        <f t="shared" si="1"/>
        <v>580.1050000000007</v>
      </c>
      <c r="F38" s="104">
        <f t="shared" si="5"/>
        <v>84079.73</v>
      </c>
      <c r="G38" s="1">
        <f t="shared" si="2"/>
        <v>550.39</v>
      </c>
      <c r="H38">
        <f t="shared" si="3"/>
        <v>315.3</v>
      </c>
      <c r="I38">
        <v>51.3</v>
      </c>
      <c r="J38">
        <f t="shared" si="4"/>
        <v>916.99</v>
      </c>
    </row>
    <row r="39" spans="2:10" x14ac:dyDescent="0.2">
      <c r="B39" s="15" t="s">
        <v>34</v>
      </c>
      <c r="C39" s="89">
        <v>2026</v>
      </c>
      <c r="D39" s="92">
        <f t="shared" si="0"/>
        <v>76575.484999999986</v>
      </c>
      <c r="E39" s="94">
        <f t="shared" si="1"/>
        <v>582.57000000000073</v>
      </c>
      <c r="F39" s="104">
        <f t="shared" si="5"/>
        <v>83529.34</v>
      </c>
      <c r="G39" s="1">
        <f t="shared" si="2"/>
        <v>552.45000000000005</v>
      </c>
      <c r="H39">
        <f t="shared" si="3"/>
        <v>313.24</v>
      </c>
      <c r="I39">
        <v>51.3</v>
      </c>
      <c r="J39">
        <f t="shared" si="4"/>
        <v>916.99</v>
      </c>
    </row>
    <row r="40" spans="2:10" x14ac:dyDescent="0.2">
      <c r="B40" s="15" t="s">
        <v>35</v>
      </c>
      <c r="C40" s="89">
        <v>2026</v>
      </c>
      <c r="D40" s="92">
        <f t="shared" si="0"/>
        <v>75990.449999999983</v>
      </c>
      <c r="E40" s="94">
        <f t="shared" si="1"/>
        <v>585.03500000000076</v>
      </c>
      <c r="F40" s="104">
        <f t="shared" si="5"/>
        <v>82976.89</v>
      </c>
      <c r="G40" s="1">
        <f t="shared" si="2"/>
        <v>554.53</v>
      </c>
      <c r="H40">
        <f t="shared" si="3"/>
        <v>311.16000000000003</v>
      </c>
      <c r="I40">
        <v>51.3</v>
      </c>
      <c r="J40">
        <f t="shared" si="4"/>
        <v>916.99</v>
      </c>
    </row>
    <row r="41" spans="2:10" x14ac:dyDescent="0.2">
      <c r="B41" s="15" t="s">
        <v>36</v>
      </c>
      <c r="C41" s="89">
        <v>2026</v>
      </c>
      <c r="D41" s="92">
        <f t="shared" si="0"/>
        <v>75402.949999999983</v>
      </c>
      <c r="E41" s="94">
        <f t="shared" si="1"/>
        <v>587.5000000000008</v>
      </c>
      <c r="F41" s="104">
        <f t="shared" si="5"/>
        <v>82422.36</v>
      </c>
      <c r="G41" s="1">
        <f t="shared" si="2"/>
        <v>556.61</v>
      </c>
      <c r="H41">
        <f t="shared" si="3"/>
        <v>309.08</v>
      </c>
      <c r="I41">
        <v>51.3</v>
      </c>
      <c r="J41">
        <f t="shared" si="4"/>
        <v>916.99</v>
      </c>
    </row>
    <row r="42" spans="2:10" x14ac:dyDescent="0.2">
      <c r="B42" s="15" t="s">
        <v>37</v>
      </c>
      <c r="C42" s="89">
        <v>2026</v>
      </c>
      <c r="D42" s="92">
        <f t="shared" si="0"/>
        <v>74812.984999999986</v>
      </c>
      <c r="E42" s="94">
        <f t="shared" si="1"/>
        <v>589.96500000000083</v>
      </c>
      <c r="F42" s="104">
        <f t="shared" si="5"/>
        <v>81865.75</v>
      </c>
      <c r="G42" s="1">
        <f t="shared" si="2"/>
        <v>558.69000000000005</v>
      </c>
      <c r="H42">
        <f t="shared" si="3"/>
        <v>307</v>
      </c>
      <c r="I42">
        <v>51.3</v>
      </c>
      <c r="J42">
        <f t="shared" si="4"/>
        <v>916.99</v>
      </c>
    </row>
    <row r="43" spans="2:10" x14ac:dyDescent="0.2">
      <c r="B43" s="15" t="s">
        <v>38</v>
      </c>
      <c r="C43" s="89">
        <v>2026</v>
      </c>
      <c r="D43" s="92">
        <f t="shared" si="0"/>
        <v>74220.554999999978</v>
      </c>
      <c r="E43" s="94">
        <f t="shared" si="1"/>
        <v>592.43000000000086</v>
      </c>
      <c r="F43" s="104">
        <f t="shared" si="5"/>
        <v>81307.06</v>
      </c>
      <c r="G43" s="1">
        <f t="shared" si="2"/>
        <v>560.79</v>
      </c>
      <c r="H43">
        <f t="shared" si="3"/>
        <v>304.89999999999998</v>
      </c>
      <c r="I43">
        <v>51.3</v>
      </c>
      <c r="J43">
        <f t="shared" si="4"/>
        <v>916.99</v>
      </c>
    </row>
    <row r="44" spans="2:10" x14ac:dyDescent="0.2">
      <c r="B44" s="15" t="s">
        <v>39</v>
      </c>
      <c r="C44" s="89">
        <v>2026</v>
      </c>
      <c r="D44" s="92">
        <f t="shared" si="0"/>
        <v>73625.659999999974</v>
      </c>
      <c r="E44" s="94">
        <f t="shared" si="1"/>
        <v>594.89500000000089</v>
      </c>
      <c r="F44" s="104">
        <f t="shared" si="5"/>
        <v>80746.27</v>
      </c>
      <c r="G44" s="1">
        <f t="shared" si="2"/>
        <v>562.89</v>
      </c>
      <c r="H44">
        <f t="shared" si="3"/>
        <v>302.8</v>
      </c>
      <c r="I44">
        <v>51.3</v>
      </c>
      <c r="J44">
        <f t="shared" si="4"/>
        <v>916.99</v>
      </c>
    </row>
    <row r="45" spans="2:10" x14ac:dyDescent="0.2">
      <c r="B45" s="15" t="s">
        <v>40</v>
      </c>
      <c r="C45" s="89">
        <v>2026</v>
      </c>
      <c r="D45" s="92">
        <f t="shared" si="0"/>
        <v>73028.299999999974</v>
      </c>
      <c r="E45" s="94">
        <f t="shared" si="1"/>
        <v>597.36000000000092</v>
      </c>
      <c r="F45" s="104">
        <f t="shared" si="5"/>
        <v>80183.38</v>
      </c>
      <c r="G45" s="1">
        <f t="shared" si="2"/>
        <v>565</v>
      </c>
      <c r="H45">
        <f t="shared" si="3"/>
        <v>300.69</v>
      </c>
      <c r="I45">
        <v>51.3</v>
      </c>
      <c r="J45">
        <f t="shared" si="4"/>
        <v>916.99</v>
      </c>
    </row>
    <row r="46" spans="2:10" x14ac:dyDescent="0.2">
      <c r="B46" s="15" t="s">
        <v>41</v>
      </c>
      <c r="C46" s="89">
        <v>2026</v>
      </c>
      <c r="D46" s="92">
        <f t="shared" si="0"/>
        <v>72428.474999999977</v>
      </c>
      <c r="E46" s="94">
        <f t="shared" si="1"/>
        <v>599.82500000000095</v>
      </c>
      <c r="F46" s="104">
        <f t="shared" si="5"/>
        <v>79618.38</v>
      </c>
      <c r="G46" s="1">
        <f t="shared" si="2"/>
        <v>567.12</v>
      </c>
      <c r="H46">
        <f t="shared" si="3"/>
        <v>298.57</v>
      </c>
      <c r="I46">
        <v>51.3</v>
      </c>
      <c r="J46">
        <f t="shared" si="4"/>
        <v>916.99</v>
      </c>
    </row>
    <row r="47" spans="2:10" x14ac:dyDescent="0.2">
      <c r="B47" s="15" t="s">
        <v>30</v>
      </c>
      <c r="C47" s="89">
        <v>2026</v>
      </c>
      <c r="D47" s="92">
        <f t="shared" si="0"/>
        <v>71826.184999999969</v>
      </c>
      <c r="E47" s="94">
        <f t="shared" si="1"/>
        <v>602.29000000000099</v>
      </c>
      <c r="F47" s="104">
        <f t="shared" si="5"/>
        <v>79051.260000000009</v>
      </c>
      <c r="G47" s="1">
        <f t="shared" si="2"/>
        <v>569.25</v>
      </c>
      <c r="H47">
        <f t="shared" si="3"/>
        <v>296.44</v>
      </c>
      <c r="I47">
        <v>51.3</v>
      </c>
      <c r="J47">
        <f t="shared" si="4"/>
        <v>916.99</v>
      </c>
    </row>
    <row r="48" spans="2:10" x14ac:dyDescent="0.2">
      <c r="B48" s="15" t="s">
        <v>31</v>
      </c>
      <c r="C48" s="89">
        <v>2026</v>
      </c>
      <c r="D48" s="92">
        <f t="shared" si="0"/>
        <v>71221.429999999964</v>
      </c>
      <c r="E48" s="94">
        <f t="shared" si="1"/>
        <v>604.75500000000102</v>
      </c>
      <c r="F48" s="104">
        <f t="shared" si="5"/>
        <v>78482.010000000009</v>
      </c>
      <c r="G48" s="1">
        <f t="shared" si="2"/>
        <v>571.38</v>
      </c>
      <c r="H48">
        <f t="shared" si="3"/>
        <v>294.31</v>
      </c>
      <c r="I48">
        <v>51.3</v>
      </c>
      <c r="J48">
        <f t="shared" si="4"/>
        <v>916.99</v>
      </c>
    </row>
    <row r="49" spans="2:10" x14ac:dyDescent="0.2">
      <c r="B49" s="15" t="s">
        <v>32</v>
      </c>
      <c r="C49" s="89">
        <v>2027</v>
      </c>
      <c r="D49" s="92">
        <f t="shared" si="0"/>
        <v>70614.209999999963</v>
      </c>
      <c r="E49" s="94">
        <f t="shared" si="1"/>
        <v>607.22000000000105</v>
      </c>
      <c r="F49" s="104">
        <f t="shared" si="5"/>
        <v>77910.63</v>
      </c>
      <c r="G49" s="1">
        <f t="shared" si="2"/>
        <v>573.53</v>
      </c>
      <c r="H49">
        <f t="shared" si="3"/>
        <v>292.16000000000003</v>
      </c>
      <c r="I49">
        <v>51.3</v>
      </c>
      <c r="J49">
        <f t="shared" si="4"/>
        <v>916.99</v>
      </c>
    </row>
    <row r="50" spans="2:10" x14ac:dyDescent="0.2">
      <c r="B50" s="15" t="s">
        <v>33</v>
      </c>
      <c r="C50" s="89">
        <v>2027</v>
      </c>
      <c r="D50" s="92">
        <f t="shared" si="0"/>
        <v>70004.524999999965</v>
      </c>
      <c r="E50" s="94">
        <f t="shared" si="1"/>
        <v>609.68500000000108</v>
      </c>
      <c r="F50" s="104">
        <f t="shared" si="5"/>
        <v>77337.100000000006</v>
      </c>
      <c r="G50" s="1">
        <f t="shared" si="2"/>
        <v>575.67999999999995</v>
      </c>
      <c r="H50">
        <f t="shared" si="3"/>
        <v>290.01</v>
      </c>
      <c r="I50">
        <v>51.3</v>
      </c>
      <c r="J50">
        <f t="shared" si="4"/>
        <v>916.99</v>
      </c>
    </row>
    <row r="51" spans="2:10" x14ac:dyDescent="0.2">
      <c r="B51" s="15" t="s">
        <v>34</v>
      </c>
      <c r="C51" s="89">
        <v>2027</v>
      </c>
      <c r="D51" s="92">
        <f t="shared" si="0"/>
        <v>69392.374999999971</v>
      </c>
      <c r="E51" s="94">
        <f t="shared" si="1"/>
        <v>612.15000000000111</v>
      </c>
      <c r="F51" s="104">
        <f t="shared" si="5"/>
        <v>76761.420000000013</v>
      </c>
      <c r="G51" s="1">
        <f t="shared" si="2"/>
        <v>577.83000000000004</v>
      </c>
      <c r="H51">
        <f t="shared" si="3"/>
        <v>287.86</v>
      </c>
      <c r="I51">
        <v>51.3</v>
      </c>
      <c r="J51">
        <f t="shared" si="4"/>
        <v>916.99</v>
      </c>
    </row>
    <row r="52" spans="2:10" x14ac:dyDescent="0.2">
      <c r="B52" s="15" t="s">
        <v>35</v>
      </c>
      <c r="C52" s="89">
        <v>2027</v>
      </c>
      <c r="D52" s="92">
        <f t="shared" si="0"/>
        <v>68777.759999999966</v>
      </c>
      <c r="E52" s="94">
        <f t="shared" si="1"/>
        <v>614.61500000000115</v>
      </c>
      <c r="F52" s="104">
        <f t="shared" si="5"/>
        <v>76183.590000000011</v>
      </c>
      <c r="G52" s="1">
        <f t="shared" si="2"/>
        <v>580</v>
      </c>
      <c r="H52">
        <f t="shared" si="3"/>
        <v>285.69</v>
      </c>
      <c r="I52">
        <v>51.3</v>
      </c>
      <c r="J52">
        <f t="shared" si="4"/>
        <v>916.99</v>
      </c>
    </row>
    <row r="53" spans="2:10" x14ac:dyDescent="0.2">
      <c r="B53" s="15" t="s">
        <v>36</v>
      </c>
      <c r="C53" s="89">
        <v>2027</v>
      </c>
      <c r="D53" s="92">
        <f t="shared" si="0"/>
        <v>68160.679999999964</v>
      </c>
      <c r="E53" s="94">
        <f t="shared" si="1"/>
        <v>617.08000000000118</v>
      </c>
      <c r="F53" s="104">
        <f t="shared" si="5"/>
        <v>75603.590000000011</v>
      </c>
      <c r="G53" s="1">
        <f t="shared" si="2"/>
        <v>582.17999999999995</v>
      </c>
      <c r="H53">
        <f t="shared" si="3"/>
        <v>283.51</v>
      </c>
      <c r="I53">
        <v>51.3</v>
      </c>
      <c r="J53">
        <f t="shared" si="4"/>
        <v>916.99</v>
      </c>
    </row>
    <row r="54" spans="2:10" x14ac:dyDescent="0.2">
      <c r="B54" s="15" t="s">
        <v>37</v>
      </c>
      <c r="C54" s="89">
        <v>2027</v>
      </c>
      <c r="D54" s="92">
        <f t="shared" si="0"/>
        <v>67541.134999999966</v>
      </c>
      <c r="E54" s="94">
        <f t="shared" si="1"/>
        <v>619.54500000000121</v>
      </c>
      <c r="F54" s="104">
        <f t="shared" si="5"/>
        <v>75021.410000000018</v>
      </c>
      <c r="G54" s="1">
        <f t="shared" si="2"/>
        <v>584.36</v>
      </c>
      <c r="H54">
        <f t="shared" si="3"/>
        <v>281.33</v>
      </c>
      <c r="I54">
        <v>51.3</v>
      </c>
      <c r="J54">
        <f t="shared" si="4"/>
        <v>916.99</v>
      </c>
    </row>
    <row r="55" spans="2:10" x14ac:dyDescent="0.2">
      <c r="B55" s="15" t="s">
        <v>38</v>
      </c>
      <c r="C55" s="89">
        <v>2027</v>
      </c>
      <c r="D55" s="92">
        <f t="shared" si="0"/>
        <v>66919.124999999971</v>
      </c>
      <c r="E55" s="94">
        <f t="shared" si="1"/>
        <v>622.01000000000124</v>
      </c>
      <c r="F55" s="104">
        <f t="shared" si="5"/>
        <v>74437.050000000017</v>
      </c>
      <c r="G55" s="1">
        <f t="shared" si="2"/>
        <v>586.54999999999995</v>
      </c>
      <c r="H55">
        <f t="shared" si="3"/>
        <v>279.14</v>
      </c>
      <c r="I55">
        <v>51.3</v>
      </c>
      <c r="J55">
        <f t="shared" si="4"/>
        <v>916.99</v>
      </c>
    </row>
    <row r="56" spans="2:10" x14ac:dyDescent="0.2">
      <c r="B56" s="15" t="s">
        <v>39</v>
      </c>
      <c r="C56" s="89">
        <v>2027</v>
      </c>
      <c r="D56" s="92">
        <f t="shared" si="0"/>
        <v>66294.649999999965</v>
      </c>
      <c r="E56" s="94">
        <f t="shared" si="1"/>
        <v>624.47500000000127</v>
      </c>
      <c r="F56" s="104">
        <f t="shared" si="5"/>
        <v>73850.500000000015</v>
      </c>
      <c r="G56" s="1">
        <f t="shared" si="2"/>
        <v>588.75</v>
      </c>
      <c r="H56">
        <f t="shared" si="3"/>
        <v>276.94</v>
      </c>
      <c r="I56">
        <v>51.3</v>
      </c>
      <c r="J56">
        <f t="shared" si="4"/>
        <v>916.99</v>
      </c>
    </row>
    <row r="57" spans="2:10" x14ac:dyDescent="0.2">
      <c r="B57" s="15" t="s">
        <v>40</v>
      </c>
      <c r="C57" s="89">
        <v>2027</v>
      </c>
      <c r="D57" s="92">
        <f t="shared" si="0"/>
        <v>65667.709999999963</v>
      </c>
      <c r="E57" s="94">
        <f t="shared" si="1"/>
        <v>626.94000000000131</v>
      </c>
      <c r="F57" s="104">
        <f t="shared" si="5"/>
        <v>73261.750000000015</v>
      </c>
      <c r="G57" s="1">
        <f t="shared" si="2"/>
        <v>590.96</v>
      </c>
      <c r="H57">
        <f t="shared" si="3"/>
        <v>274.73</v>
      </c>
      <c r="I57">
        <v>51.3</v>
      </c>
      <c r="J57">
        <f t="shared" si="4"/>
        <v>916.99</v>
      </c>
    </row>
    <row r="58" spans="2:10" x14ac:dyDescent="0.2">
      <c r="B58" s="15" t="s">
        <v>41</v>
      </c>
      <c r="C58" s="89">
        <v>2027</v>
      </c>
      <c r="D58" s="92">
        <f t="shared" si="0"/>
        <v>65038.304999999964</v>
      </c>
      <c r="E58" s="94">
        <f t="shared" si="1"/>
        <v>629.40500000000134</v>
      </c>
      <c r="F58" s="104">
        <f t="shared" si="5"/>
        <v>72670.790000000008</v>
      </c>
      <c r="G58" s="1">
        <f t="shared" si="2"/>
        <v>593.16999999999996</v>
      </c>
      <c r="H58">
        <f t="shared" si="3"/>
        <v>272.52</v>
      </c>
      <c r="I58">
        <v>51.3</v>
      </c>
      <c r="J58">
        <f t="shared" si="4"/>
        <v>916.99</v>
      </c>
    </row>
    <row r="59" spans="2:10" x14ac:dyDescent="0.2">
      <c r="B59" s="15" t="s">
        <v>30</v>
      </c>
      <c r="C59" s="89">
        <v>2027</v>
      </c>
      <c r="D59" s="92">
        <f t="shared" si="0"/>
        <v>64406.434999999961</v>
      </c>
      <c r="E59" s="94">
        <f t="shared" si="1"/>
        <v>631.87000000000137</v>
      </c>
      <c r="F59" s="104">
        <f t="shared" si="5"/>
        <v>72077.62000000001</v>
      </c>
      <c r="G59" s="1">
        <f t="shared" si="2"/>
        <v>595.4</v>
      </c>
      <c r="H59">
        <f t="shared" si="3"/>
        <v>270.29000000000002</v>
      </c>
      <c r="I59">
        <v>51.3</v>
      </c>
      <c r="J59">
        <f t="shared" si="4"/>
        <v>916.99</v>
      </c>
    </row>
    <row r="60" spans="2:10" x14ac:dyDescent="0.2">
      <c r="B60" s="15" t="s">
        <v>31</v>
      </c>
      <c r="C60" s="89">
        <v>2027</v>
      </c>
      <c r="D60" s="92">
        <f t="shared" si="0"/>
        <v>63772.099999999962</v>
      </c>
      <c r="E60" s="94">
        <f t="shared" si="1"/>
        <v>634.3350000000014</v>
      </c>
      <c r="F60" s="104">
        <f t="shared" si="5"/>
        <v>71482.220000000016</v>
      </c>
      <c r="G60" s="1">
        <f t="shared" si="2"/>
        <v>597.63</v>
      </c>
      <c r="H60">
        <f t="shared" si="3"/>
        <v>268.06</v>
      </c>
      <c r="I60">
        <v>51.3</v>
      </c>
      <c r="J60">
        <f t="shared" si="4"/>
        <v>916.99</v>
      </c>
    </row>
    <row r="61" spans="2:10" x14ac:dyDescent="0.2">
      <c r="B61" s="15" t="s">
        <v>32</v>
      </c>
      <c r="C61" s="89">
        <v>2028</v>
      </c>
      <c r="D61" s="92">
        <f t="shared" si="0"/>
        <v>63135.299999999959</v>
      </c>
      <c r="E61" s="94">
        <f t="shared" si="1"/>
        <v>636.80000000000143</v>
      </c>
      <c r="F61" s="104">
        <f t="shared" si="5"/>
        <v>70884.590000000011</v>
      </c>
      <c r="G61" s="1">
        <f t="shared" si="2"/>
        <v>599.87</v>
      </c>
      <c r="H61">
        <f t="shared" si="3"/>
        <v>265.82</v>
      </c>
      <c r="I61">
        <v>51.3</v>
      </c>
      <c r="J61">
        <f t="shared" si="4"/>
        <v>916.99</v>
      </c>
    </row>
    <row r="62" spans="2:10" x14ac:dyDescent="0.2">
      <c r="B62" s="15" t="s">
        <v>33</v>
      </c>
      <c r="C62" s="89">
        <v>2028</v>
      </c>
      <c r="D62" s="92">
        <f t="shared" si="0"/>
        <v>62496.03499999996</v>
      </c>
      <c r="E62" s="94">
        <f t="shared" si="1"/>
        <v>639.26500000000146</v>
      </c>
      <c r="F62" s="104">
        <f t="shared" si="5"/>
        <v>70284.720000000016</v>
      </c>
      <c r="G62" s="1">
        <f t="shared" si="2"/>
        <v>602.12</v>
      </c>
      <c r="H62">
        <f t="shared" si="3"/>
        <v>263.57</v>
      </c>
      <c r="I62">
        <v>51.3</v>
      </c>
      <c r="J62">
        <f t="shared" si="4"/>
        <v>916.99</v>
      </c>
    </row>
    <row r="63" spans="2:10" x14ac:dyDescent="0.2">
      <c r="B63" s="15" t="s">
        <v>34</v>
      </c>
      <c r="C63" s="89">
        <v>2028</v>
      </c>
      <c r="D63" s="92">
        <f t="shared" si="0"/>
        <v>61854.304999999957</v>
      </c>
      <c r="E63" s="94">
        <f t="shared" si="1"/>
        <v>641.7300000000015</v>
      </c>
      <c r="F63" s="104">
        <f t="shared" si="5"/>
        <v>69682.60000000002</v>
      </c>
      <c r="G63" s="1">
        <f t="shared" si="2"/>
        <v>604.38</v>
      </c>
      <c r="H63">
        <f t="shared" si="3"/>
        <v>261.31</v>
      </c>
      <c r="I63">
        <v>51.3</v>
      </c>
      <c r="J63">
        <f t="shared" si="4"/>
        <v>916.99</v>
      </c>
    </row>
    <row r="64" spans="2:10" x14ac:dyDescent="0.2">
      <c r="B64" s="15" t="s">
        <v>35</v>
      </c>
      <c r="C64" s="89">
        <v>2028</v>
      </c>
      <c r="D64" s="92">
        <f t="shared" si="0"/>
        <v>61210.109999999957</v>
      </c>
      <c r="E64" s="94">
        <f t="shared" si="1"/>
        <v>644.19500000000153</v>
      </c>
      <c r="F64" s="104">
        <f t="shared" si="5"/>
        <v>69078.220000000016</v>
      </c>
      <c r="G64" s="1">
        <f t="shared" si="2"/>
        <v>606.65</v>
      </c>
      <c r="H64">
        <f t="shared" si="3"/>
        <v>259.04000000000002</v>
      </c>
      <c r="I64">
        <v>51.3</v>
      </c>
      <c r="J64">
        <f t="shared" si="4"/>
        <v>916.99</v>
      </c>
    </row>
    <row r="65" spans="2:10" x14ac:dyDescent="0.2">
      <c r="B65" s="15" t="s">
        <v>36</v>
      </c>
      <c r="C65" s="89">
        <v>2028</v>
      </c>
      <c r="D65" s="92">
        <f t="shared" si="0"/>
        <v>60563.449999999953</v>
      </c>
      <c r="E65" s="94">
        <f t="shared" si="1"/>
        <v>646.66000000000156</v>
      </c>
      <c r="F65" s="104">
        <f t="shared" si="5"/>
        <v>68471.570000000022</v>
      </c>
      <c r="G65" s="1">
        <f t="shared" si="2"/>
        <v>608.91999999999996</v>
      </c>
      <c r="H65">
        <f t="shared" si="3"/>
        <v>256.77</v>
      </c>
      <c r="I65">
        <v>51.3</v>
      </c>
      <c r="J65">
        <f t="shared" si="4"/>
        <v>916.99</v>
      </c>
    </row>
    <row r="66" spans="2:10" x14ac:dyDescent="0.2">
      <c r="B66" s="15" t="s">
        <v>37</v>
      </c>
      <c r="C66" s="89">
        <v>2028</v>
      </c>
      <c r="D66" s="92">
        <f t="shared" si="0"/>
        <v>59914.324999999953</v>
      </c>
      <c r="E66" s="94">
        <f t="shared" si="1"/>
        <v>649.12500000000159</v>
      </c>
      <c r="F66" s="104">
        <f t="shared" si="5"/>
        <v>67862.650000000023</v>
      </c>
      <c r="G66" s="1">
        <f t="shared" si="2"/>
        <v>611.21</v>
      </c>
      <c r="H66">
        <f t="shared" si="3"/>
        <v>254.48</v>
      </c>
      <c r="I66">
        <v>51.3</v>
      </c>
      <c r="J66">
        <f t="shared" si="4"/>
        <v>916.99</v>
      </c>
    </row>
    <row r="67" spans="2:10" x14ac:dyDescent="0.2">
      <c r="B67" s="15" t="s">
        <v>38</v>
      </c>
      <c r="C67" s="89">
        <v>2028</v>
      </c>
      <c r="D67" s="92">
        <f t="shared" si="0"/>
        <v>59262.73499999995</v>
      </c>
      <c r="E67" s="94">
        <f t="shared" si="1"/>
        <v>651.59000000000162</v>
      </c>
      <c r="F67" s="104">
        <f t="shared" si="5"/>
        <v>67251.440000000017</v>
      </c>
      <c r="G67" s="1">
        <f t="shared" si="2"/>
        <v>613.5</v>
      </c>
      <c r="H67">
        <f t="shared" si="3"/>
        <v>252.19</v>
      </c>
      <c r="I67">
        <v>51.3</v>
      </c>
      <c r="J67">
        <f t="shared" si="4"/>
        <v>916.99</v>
      </c>
    </row>
    <row r="68" spans="2:10" x14ac:dyDescent="0.2">
      <c r="B68" s="15" t="s">
        <v>39</v>
      </c>
      <c r="C68" s="89">
        <v>2028</v>
      </c>
      <c r="D68" s="92">
        <f t="shared" si="0"/>
        <v>58608.679999999949</v>
      </c>
      <c r="E68" s="94">
        <f t="shared" si="1"/>
        <v>654.05500000000166</v>
      </c>
      <c r="F68" s="104">
        <f t="shared" si="5"/>
        <v>66637.940000000017</v>
      </c>
      <c r="G68" s="1">
        <f t="shared" si="2"/>
        <v>615.79999999999995</v>
      </c>
      <c r="H68">
        <f t="shared" si="3"/>
        <v>249.89</v>
      </c>
      <c r="I68">
        <v>51.3</v>
      </c>
      <c r="J68">
        <f t="shared" si="4"/>
        <v>916.99</v>
      </c>
    </row>
    <row r="69" spans="2:10" x14ac:dyDescent="0.2">
      <c r="B69" s="15" t="s">
        <v>40</v>
      </c>
      <c r="C69" s="89">
        <v>2028</v>
      </c>
      <c r="D69" s="92">
        <f t="shared" si="0"/>
        <v>57952.159999999945</v>
      </c>
      <c r="E69" s="94">
        <f t="shared" si="1"/>
        <v>656.52000000000169</v>
      </c>
      <c r="F69" s="104">
        <f t="shared" si="5"/>
        <v>66022.140000000014</v>
      </c>
      <c r="G69" s="1">
        <f t="shared" si="2"/>
        <v>618.11</v>
      </c>
      <c r="H69">
        <f t="shared" si="3"/>
        <v>247.58</v>
      </c>
      <c r="I69">
        <v>51.3</v>
      </c>
      <c r="J69">
        <f t="shared" si="4"/>
        <v>916.99</v>
      </c>
    </row>
    <row r="70" spans="2:10" x14ac:dyDescent="0.2">
      <c r="B70" s="15" t="s">
        <v>41</v>
      </c>
      <c r="C70" s="89">
        <v>2028</v>
      </c>
      <c r="D70" s="92">
        <f t="shared" si="0"/>
        <v>57293.174999999945</v>
      </c>
      <c r="E70" s="94">
        <f t="shared" si="1"/>
        <v>658.98500000000172</v>
      </c>
      <c r="F70" s="104">
        <f t="shared" si="5"/>
        <v>65404.030000000013</v>
      </c>
      <c r="G70" s="1">
        <f t="shared" si="2"/>
        <v>620.41999999999996</v>
      </c>
      <c r="H70">
        <f t="shared" si="3"/>
        <v>245.27</v>
      </c>
      <c r="I70">
        <v>51.3</v>
      </c>
      <c r="J70">
        <f t="shared" si="4"/>
        <v>916.99</v>
      </c>
    </row>
    <row r="71" spans="2:10" x14ac:dyDescent="0.2">
      <c r="B71" s="15" t="s">
        <v>30</v>
      </c>
      <c r="C71" s="89">
        <v>2028</v>
      </c>
      <c r="D71" s="92">
        <f t="shared" ref="D71:D134" si="6">D70-$E71</f>
        <v>56631.72499999994</v>
      </c>
      <c r="E71" s="94">
        <f t="shared" ref="E71:E134" si="7">E70+2.465</f>
        <v>661.45000000000175</v>
      </c>
      <c r="F71" s="104">
        <f t="shared" si="5"/>
        <v>64783.610000000015</v>
      </c>
      <c r="G71" s="1">
        <f t="shared" si="2"/>
        <v>622.75</v>
      </c>
      <c r="H71">
        <f t="shared" si="3"/>
        <v>242.94</v>
      </c>
      <c r="I71">
        <v>51.3</v>
      </c>
      <c r="J71">
        <f t="shared" si="4"/>
        <v>916.99</v>
      </c>
    </row>
    <row r="72" spans="2:10" x14ac:dyDescent="0.2">
      <c r="B72" s="15" t="s">
        <v>31</v>
      </c>
      <c r="C72" s="89">
        <v>2028</v>
      </c>
      <c r="D72" s="92">
        <f t="shared" si="6"/>
        <v>55967.809999999939</v>
      </c>
      <c r="E72" s="94">
        <f t="shared" si="7"/>
        <v>663.91500000000178</v>
      </c>
      <c r="F72" s="104">
        <f t="shared" si="5"/>
        <v>64160.860000000015</v>
      </c>
      <c r="G72" s="1">
        <f t="shared" si="2"/>
        <v>625.09</v>
      </c>
      <c r="H72">
        <f t="shared" si="3"/>
        <v>240.6</v>
      </c>
      <c r="I72">
        <v>51.3</v>
      </c>
      <c r="J72">
        <f t="shared" si="4"/>
        <v>916.99</v>
      </c>
    </row>
    <row r="73" spans="2:10" x14ac:dyDescent="0.2">
      <c r="B73" s="15" t="s">
        <v>32</v>
      </c>
      <c r="C73" s="89">
        <v>2029</v>
      </c>
      <c r="D73" s="92">
        <f t="shared" si="6"/>
        <v>55301.429999999935</v>
      </c>
      <c r="E73" s="94">
        <f t="shared" si="7"/>
        <v>666.38000000000181</v>
      </c>
      <c r="F73" s="104">
        <f t="shared" si="5"/>
        <v>63535.770000000019</v>
      </c>
      <c r="G73" s="1">
        <f t="shared" si="2"/>
        <v>627.42999999999995</v>
      </c>
      <c r="H73">
        <f t="shared" si="3"/>
        <v>238.26</v>
      </c>
      <c r="I73">
        <v>51.3</v>
      </c>
      <c r="J73">
        <f t="shared" si="4"/>
        <v>916.99</v>
      </c>
    </row>
    <row r="74" spans="2:10" x14ac:dyDescent="0.2">
      <c r="B74" s="15" t="s">
        <v>33</v>
      </c>
      <c r="C74" s="89">
        <v>2029</v>
      </c>
      <c r="D74" s="92">
        <f t="shared" si="6"/>
        <v>54632.584999999934</v>
      </c>
      <c r="E74" s="94">
        <f t="shared" si="7"/>
        <v>668.84500000000185</v>
      </c>
      <c r="F74" s="104">
        <f t="shared" si="5"/>
        <v>62908.340000000018</v>
      </c>
      <c r="G74" s="1">
        <f t="shared" si="2"/>
        <v>629.78</v>
      </c>
      <c r="H74">
        <f t="shared" si="3"/>
        <v>235.91</v>
      </c>
      <c r="I74">
        <v>51.3</v>
      </c>
      <c r="J74">
        <f t="shared" si="4"/>
        <v>916.99</v>
      </c>
    </row>
    <row r="75" spans="2:10" x14ac:dyDescent="0.2">
      <c r="B75" s="15" t="s">
        <v>34</v>
      </c>
      <c r="C75" s="89">
        <v>2029</v>
      </c>
      <c r="D75" s="92">
        <f t="shared" si="6"/>
        <v>53961.274999999929</v>
      </c>
      <c r="E75" s="94">
        <f t="shared" si="7"/>
        <v>671.31000000000188</v>
      </c>
      <c r="F75" s="104">
        <f t="shared" si="5"/>
        <v>62278.560000000019</v>
      </c>
      <c r="G75" s="1">
        <f t="shared" si="2"/>
        <v>632.15</v>
      </c>
      <c r="H75">
        <f t="shared" si="3"/>
        <v>233.54</v>
      </c>
      <c r="I75">
        <v>51.3</v>
      </c>
      <c r="J75">
        <f t="shared" si="4"/>
        <v>916.99</v>
      </c>
    </row>
    <row r="76" spans="2:10" x14ac:dyDescent="0.2">
      <c r="B76" s="15" t="s">
        <v>35</v>
      </c>
      <c r="C76" s="89">
        <v>2029</v>
      </c>
      <c r="D76" s="92">
        <f t="shared" si="6"/>
        <v>53287.499999999927</v>
      </c>
      <c r="E76" s="94">
        <f t="shared" si="7"/>
        <v>673.77500000000191</v>
      </c>
      <c r="F76" s="104">
        <f t="shared" si="5"/>
        <v>61646.410000000018</v>
      </c>
      <c r="G76" s="1">
        <f t="shared" si="2"/>
        <v>634.52</v>
      </c>
      <c r="H76">
        <f t="shared" si="3"/>
        <v>231.17</v>
      </c>
      <c r="I76">
        <v>51.3</v>
      </c>
      <c r="J76">
        <f t="shared" si="4"/>
        <v>916.99</v>
      </c>
    </row>
    <row r="77" spans="2:10" x14ac:dyDescent="0.2">
      <c r="B77" s="15" t="s">
        <v>36</v>
      </c>
      <c r="C77" s="89">
        <v>2029</v>
      </c>
      <c r="D77" s="92">
        <f t="shared" si="6"/>
        <v>52611.259999999922</v>
      </c>
      <c r="E77" s="94">
        <f t="shared" si="7"/>
        <v>676.24000000000194</v>
      </c>
      <c r="F77" s="104">
        <f t="shared" si="5"/>
        <v>61011.890000000021</v>
      </c>
      <c r="G77" s="1">
        <f t="shared" si="2"/>
        <v>636.9</v>
      </c>
      <c r="H77">
        <f t="shared" si="3"/>
        <v>228.79</v>
      </c>
      <c r="I77">
        <v>51.3</v>
      </c>
      <c r="J77">
        <f t="shared" si="4"/>
        <v>916.99</v>
      </c>
    </row>
    <row r="78" spans="2:10" x14ac:dyDescent="0.2">
      <c r="B78" s="15" t="s">
        <v>37</v>
      </c>
      <c r="C78" s="89">
        <v>2029</v>
      </c>
      <c r="D78" s="92">
        <f t="shared" si="6"/>
        <v>51932.55499999992</v>
      </c>
      <c r="E78" s="94">
        <f t="shared" si="7"/>
        <v>678.70500000000197</v>
      </c>
      <c r="F78" s="104">
        <f t="shared" si="5"/>
        <v>60374.99000000002</v>
      </c>
      <c r="G78" s="1">
        <f t="shared" si="2"/>
        <v>639.28</v>
      </c>
      <c r="H78">
        <f t="shared" si="3"/>
        <v>226.41</v>
      </c>
      <c r="I78">
        <v>51.3</v>
      </c>
      <c r="J78">
        <f t="shared" si="4"/>
        <v>916.99</v>
      </c>
    </row>
    <row r="79" spans="2:10" x14ac:dyDescent="0.2">
      <c r="B79" s="15" t="s">
        <v>38</v>
      </c>
      <c r="C79" s="89">
        <v>2029</v>
      </c>
      <c r="D79" s="92">
        <f t="shared" si="6"/>
        <v>51251.384999999915</v>
      </c>
      <c r="E79" s="94">
        <f t="shared" si="7"/>
        <v>681.17000000000201</v>
      </c>
      <c r="F79" s="104">
        <f t="shared" si="5"/>
        <v>59735.710000000021</v>
      </c>
      <c r="G79" s="1">
        <f t="shared" si="2"/>
        <v>641.67999999999995</v>
      </c>
      <c r="H79">
        <f t="shared" si="3"/>
        <v>224.01</v>
      </c>
      <c r="I79">
        <v>51.3</v>
      </c>
      <c r="J79">
        <f t="shared" si="4"/>
        <v>916.99</v>
      </c>
    </row>
    <row r="80" spans="2:10" x14ac:dyDescent="0.2">
      <c r="B80" s="15" t="s">
        <v>39</v>
      </c>
      <c r="C80" s="89">
        <v>2029</v>
      </c>
      <c r="D80" s="92">
        <f t="shared" si="6"/>
        <v>50567.749999999913</v>
      </c>
      <c r="E80" s="94">
        <f t="shared" si="7"/>
        <v>683.63500000000204</v>
      </c>
      <c r="F80" s="104">
        <f t="shared" si="5"/>
        <v>59094.030000000021</v>
      </c>
      <c r="G80" s="1">
        <f t="shared" si="2"/>
        <v>644.09</v>
      </c>
      <c r="H80">
        <f t="shared" si="3"/>
        <v>221.6</v>
      </c>
      <c r="I80">
        <v>51.3</v>
      </c>
      <c r="J80">
        <f t="shared" si="4"/>
        <v>916.99</v>
      </c>
    </row>
    <row r="81" spans="2:10" x14ac:dyDescent="0.2">
      <c r="B81" s="15" t="s">
        <v>40</v>
      </c>
      <c r="C81" s="89">
        <v>2029</v>
      </c>
      <c r="D81" s="92">
        <f t="shared" si="6"/>
        <v>49881.649999999914</v>
      </c>
      <c r="E81" s="94">
        <f t="shared" si="7"/>
        <v>686.10000000000207</v>
      </c>
      <c r="F81" s="104">
        <f t="shared" si="5"/>
        <v>58449.940000000024</v>
      </c>
      <c r="G81" s="1">
        <f t="shared" si="2"/>
        <v>646.5</v>
      </c>
      <c r="H81">
        <f t="shared" si="3"/>
        <v>219.19</v>
      </c>
      <c r="I81">
        <v>51.3</v>
      </c>
      <c r="J81">
        <f t="shared" si="4"/>
        <v>916.99</v>
      </c>
    </row>
    <row r="82" spans="2:10" x14ac:dyDescent="0.2">
      <c r="B82" s="15" t="s">
        <v>41</v>
      </c>
      <c r="C82" s="89">
        <v>2029</v>
      </c>
      <c r="D82" s="92">
        <f t="shared" si="6"/>
        <v>49193.084999999912</v>
      </c>
      <c r="E82" s="94">
        <f t="shared" si="7"/>
        <v>688.5650000000021</v>
      </c>
      <c r="F82" s="104">
        <f t="shared" si="5"/>
        <v>57803.440000000024</v>
      </c>
      <c r="G82" s="1">
        <f t="shared" si="2"/>
        <v>648.92999999999995</v>
      </c>
      <c r="H82">
        <f t="shared" si="3"/>
        <v>216.76</v>
      </c>
      <c r="I82">
        <v>51.3</v>
      </c>
      <c r="J82">
        <f t="shared" si="4"/>
        <v>916.99</v>
      </c>
    </row>
    <row r="83" spans="2:10" x14ac:dyDescent="0.2">
      <c r="B83" s="15" t="s">
        <v>30</v>
      </c>
      <c r="C83" s="89">
        <v>2029</v>
      </c>
      <c r="D83" s="92">
        <f t="shared" si="6"/>
        <v>48502.054999999913</v>
      </c>
      <c r="E83" s="94">
        <f t="shared" si="7"/>
        <v>691.03000000000213</v>
      </c>
      <c r="F83" s="104">
        <f t="shared" si="5"/>
        <v>57154.510000000024</v>
      </c>
      <c r="G83" s="1">
        <f t="shared" si="2"/>
        <v>651.36</v>
      </c>
      <c r="H83">
        <f t="shared" si="3"/>
        <v>214.33</v>
      </c>
      <c r="I83">
        <v>51.3</v>
      </c>
      <c r="J83">
        <f t="shared" si="4"/>
        <v>916.99</v>
      </c>
    </row>
    <row r="84" spans="2:10" x14ac:dyDescent="0.2">
      <c r="B84" s="15" t="s">
        <v>31</v>
      </c>
      <c r="C84" s="89">
        <v>2029</v>
      </c>
      <c r="D84" s="92">
        <f t="shared" si="6"/>
        <v>47808.55999999991</v>
      </c>
      <c r="E84" s="94">
        <f t="shared" si="7"/>
        <v>693.49500000000216</v>
      </c>
      <c r="F84" s="104">
        <f t="shared" si="5"/>
        <v>56503.150000000023</v>
      </c>
      <c r="G84" s="1">
        <f t="shared" si="2"/>
        <v>653.79999999999995</v>
      </c>
      <c r="H84">
        <f t="shared" si="3"/>
        <v>211.89</v>
      </c>
      <c r="I84">
        <v>51.3</v>
      </c>
      <c r="J84">
        <f t="shared" si="4"/>
        <v>916.99</v>
      </c>
    </row>
    <row r="85" spans="2:10" x14ac:dyDescent="0.2">
      <c r="B85" s="15" t="s">
        <v>32</v>
      </c>
      <c r="C85" s="89">
        <v>2030</v>
      </c>
      <c r="D85" s="92">
        <f t="shared" si="6"/>
        <v>47112.599999999911</v>
      </c>
      <c r="E85" s="94">
        <f t="shared" si="7"/>
        <v>695.9600000000022</v>
      </c>
      <c r="F85" s="104">
        <f t="shared" si="5"/>
        <v>55849.35000000002</v>
      </c>
      <c r="G85" s="1">
        <f t="shared" si="2"/>
        <v>656.25</v>
      </c>
      <c r="H85">
        <f t="shared" si="3"/>
        <v>209.44</v>
      </c>
      <c r="I85">
        <v>51.3</v>
      </c>
      <c r="J85">
        <f t="shared" si="4"/>
        <v>916.99</v>
      </c>
    </row>
    <row r="86" spans="2:10" x14ac:dyDescent="0.2">
      <c r="B86" s="15" t="s">
        <v>33</v>
      </c>
      <c r="C86" s="89">
        <v>2030</v>
      </c>
      <c r="D86" s="92">
        <f t="shared" si="6"/>
        <v>46414.174999999908</v>
      </c>
      <c r="E86" s="94">
        <f t="shared" si="7"/>
        <v>698.42500000000223</v>
      </c>
      <c r="F86" s="104">
        <f t="shared" si="5"/>
        <v>55193.10000000002</v>
      </c>
      <c r="G86" s="1">
        <f t="shared" si="2"/>
        <v>658.72</v>
      </c>
      <c r="H86">
        <f t="shared" si="3"/>
        <v>206.97</v>
      </c>
      <c r="I86">
        <v>51.3</v>
      </c>
      <c r="J86">
        <f t="shared" si="4"/>
        <v>916.99</v>
      </c>
    </row>
    <row r="87" spans="2:10" x14ac:dyDescent="0.2">
      <c r="B87" s="15" t="s">
        <v>34</v>
      </c>
      <c r="C87" s="89">
        <v>2030</v>
      </c>
      <c r="D87" s="92">
        <f t="shared" si="6"/>
        <v>45713.284999999909</v>
      </c>
      <c r="E87" s="94">
        <f t="shared" si="7"/>
        <v>700.89000000000226</v>
      </c>
      <c r="F87" s="104">
        <f t="shared" si="5"/>
        <v>54534.380000000019</v>
      </c>
      <c r="G87" s="1">
        <f t="shared" si="2"/>
        <v>661.19</v>
      </c>
      <c r="H87">
        <f t="shared" si="3"/>
        <v>204.5</v>
      </c>
      <c r="I87">
        <v>51.3</v>
      </c>
      <c r="J87">
        <f t="shared" si="4"/>
        <v>916.99</v>
      </c>
    </row>
    <row r="88" spans="2:10" x14ac:dyDescent="0.2">
      <c r="B88" s="15" t="s">
        <v>35</v>
      </c>
      <c r="C88" s="89">
        <v>2030</v>
      </c>
      <c r="D88" s="92">
        <f t="shared" si="6"/>
        <v>45009.929999999906</v>
      </c>
      <c r="E88" s="94">
        <f t="shared" si="7"/>
        <v>703.35500000000229</v>
      </c>
      <c r="F88" s="104">
        <f t="shared" si="5"/>
        <v>53873.190000000017</v>
      </c>
      <c r="G88" s="1">
        <f t="shared" si="2"/>
        <v>663.67</v>
      </c>
      <c r="H88">
        <f t="shared" si="3"/>
        <v>202.02</v>
      </c>
      <c r="I88">
        <v>51.3</v>
      </c>
      <c r="J88">
        <f t="shared" si="4"/>
        <v>916.99</v>
      </c>
    </row>
    <row r="89" spans="2:10" x14ac:dyDescent="0.2">
      <c r="B89" s="15" t="s">
        <v>36</v>
      </c>
      <c r="C89" s="89">
        <v>2030</v>
      </c>
      <c r="D89" s="92">
        <f t="shared" si="6"/>
        <v>44304.109999999906</v>
      </c>
      <c r="E89" s="94">
        <f t="shared" si="7"/>
        <v>705.82000000000232</v>
      </c>
      <c r="F89" s="104">
        <f t="shared" si="5"/>
        <v>53209.520000000019</v>
      </c>
      <c r="G89" s="1">
        <f t="shared" si="2"/>
        <v>666.15</v>
      </c>
      <c r="H89">
        <f t="shared" si="3"/>
        <v>199.54</v>
      </c>
      <c r="I89">
        <v>51.3</v>
      </c>
      <c r="J89">
        <f t="shared" si="4"/>
        <v>916.99</v>
      </c>
    </row>
    <row r="90" spans="2:10" x14ac:dyDescent="0.2">
      <c r="B90" s="15" t="s">
        <v>37</v>
      </c>
      <c r="C90" s="89">
        <v>2030</v>
      </c>
      <c r="D90" s="92">
        <f t="shared" si="6"/>
        <v>43595.824999999903</v>
      </c>
      <c r="E90" s="94">
        <f t="shared" si="7"/>
        <v>708.28500000000236</v>
      </c>
      <c r="F90" s="104">
        <f t="shared" si="5"/>
        <v>52543.370000000017</v>
      </c>
      <c r="G90" s="1">
        <f t="shared" si="2"/>
        <v>668.65</v>
      </c>
      <c r="H90">
        <f t="shared" si="3"/>
        <v>197.04</v>
      </c>
      <c r="I90">
        <v>51.3</v>
      </c>
      <c r="J90">
        <f t="shared" si="4"/>
        <v>916.99</v>
      </c>
    </row>
    <row r="91" spans="2:10" x14ac:dyDescent="0.2">
      <c r="B91" s="15" t="s">
        <v>38</v>
      </c>
      <c r="C91" s="89">
        <v>2030</v>
      </c>
      <c r="D91" s="92">
        <f t="shared" si="6"/>
        <v>42885.074999999903</v>
      </c>
      <c r="E91" s="94">
        <f t="shared" si="7"/>
        <v>710.75000000000239</v>
      </c>
      <c r="F91" s="104">
        <f t="shared" si="5"/>
        <v>51874.720000000016</v>
      </c>
      <c r="G91" s="1">
        <f t="shared" ref="G91:G154" si="8">ROUND(865.685421504164 - H91, 2)</f>
        <v>671.16</v>
      </c>
      <c r="H91">
        <f t="shared" ref="H91:H154" si="9">ROUND(F91 * 0.00375, 2)</f>
        <v>194.53</v>
      </c>
      <c r="I91">
        <v>51.3</v>
      </c>
      <c r="J91">
        <f t="shared" ref="J91:J154" si="10">ROUND(865.685421504164 + I91, 2)</f>
        <v>916.99</v>
      </c>
    </row>
    <row r="92" spans="2:10" x14ac:dyDescent="0.2">
      <c r="B92" s="15" t="s">
        <v>39</v>
      </c>
      <c r="C92" s="89">
        <v>2030</v>
      </c>
      <c r="D92" s="92">
        <f t="shared" si="6"/>
        <v>42171.859999999899</v>
      </c>
      <c r="E92" s="94">
        <f t="shared" si="7"/>
        <v>713.21500000000242</v>
      </c>
      <c r="F92" s="104">
        <f t="shared" ref="F92:F155" si="11">F91 - G91</f>
        <v>51203.560000000012</v>
      </c>
      <c r="G92" s="1">
        <f t="shared" si="8"/>
        <v>673.68</v>
      </c>
      <c r="H92">
        <f t="shared" si="9"/>
        <v>192.01</v>
      </c>
      <c r="I92">
        <v>51.3</v>
      </c>
      <c r="J92">
        <f t="shared" si="10"/>
        <v>916.99</v>
      </c>
    </row>
    <row r="93" spans="2:10" x14ac:dyDescent="0.2">
      <c r="B93" s="15" t="s">
        <v>40</v>
      </c>
      <c r="C93" s="89">
        <v>2030</v>
      </c>
      <c r="D93" s="92">
        <f t="shared" si="6"/>
        <v>41456.179999999898</v>
      </c>
      <c r="E93" s="94">
        <f t="shared" si="7"/>
        <v>715.68000000000245</v>
      </c>
      <c r="F93" s="104">
        <f t="shared" si="11"/>
        <v>50529.880000000012</v>
      </c>
      <c r="G93" s="1">
        <f t="shared" si="8"/>
        <v>676.2</v>
      </c>
      <c r="H93">
        <f t="shared" si="9"/>
        <v>189.49</v>
      </c>
      <c r="I93">
        <v>51.3</v>
      </c>
      <c r="J93">
        <f t="shared" si="10"/>
        <v>916.99</v>
      </c>
    </row>
    <row r="94" spans="2:10" x14ac:dyDescent="0.2">
      <c r="B94" s="15" t="s">
        <v>41</v>
      </c>
      <c r="C94" s="89">
        <v>2030</v>
      </c>
      <c r="D94" s="92">
        <f t="shared" si="6"/>
        <v>40738.034999999894</v>
      </c>
      <c r="E94" s="94">
        <f t="shared" si="7"/>
        <v>718.14500000000248</v>
      </c>
      <c r="F94" s="104">
        <f t="shared" si="11"/>
        <v>49853.680000000015</v>
      </c>
      <c r="G94" s="1">
        <f t="shared" si="8"/>
        <v>678.74</v>
      </c>
      <c r="H94">
        <f t="shared" si="9"/>
        <v>186.95</v>
      </c>
      <c r="I94">
        <v>51.3</v>
      </c>
      <c r="J94">
        <f t="shared" si="10"/>
        <v>916.99</v>
      </c>
    </row>
    <row r="95" spans="2:10" x14ac:dyDescent="0.2">
      <c r="B95" s="15" t="s">
        <v>30</v>
      </c>
      <c r="C95" s="89">
        <v>2030</v>
      </c>
      <c r="D95" s="92">
        <f t="shared" si="6"/>
        <v>40017.424999999894</v>
      </c>
      <c r="E95" s="94">
        <f t="shared" si="7"/>
        <v>720.61000000000251</v>
      </c>
      <c r="F95" s="104">
        <f t="shared" si="11"/>
        <v>49174.940000000017</v>
      </c>
      <c r="G95" s="1">
        <f t="shared" si="8"/>
        <v>681.28</v>
      </c>
      <c r="H95">
        <f t="shared" si="9"/>
        <v>184.41</v>
      </c>
      <c r="I95">
        <v>51.3</v>
      </c>
      <c r="J95">
        <f t="shared" si="10"/>
        <v>916.99</v>
      </c>
    </row>
    <row r="96" spans="2:10" x14ac:dyDescent="0.2">
      <c r="B96" s="15" t="s">
        <v>31</v>
      </c>
      <c r="C96" s="89">
        <v>2030</v>
      </c>
      <c r="D96" s="92">
        <f t="shared" si="6"/>
        <v>39294.349999999889</v>
      </c>
      <c r="E96" s="94">
        <f t="shared" si="7"/>
        <v>723.07500000000255</v>
      </c>
      <c r="F96" s="104">
        <f t="shared" si="11"/>
        <v>48493.660000000018</v>
      </c>
      <c r="G96" s="1">
        <f t="shared" si="8"/>
        <v>683.84</v>
      </c>
      <c r="H96">
        <f t="shared" si="9"/>
        <v>181.85</v>
      </c>
      <c r="I96">
        <v>51.3</v>
      </c>
      <c r="J96">
        <f t="shared" si="10"/>
        <v>916.99</v>
      </c>
    </row>
    <row r="97" spans="2:10" x14ac:dyDescent="0.2">
      <c r="B97" s="15" t="s">
        <v>32</v>
      </c>
      <c r="C97" s="89">
        <v>2031</v>
      </c>
      <c r="D97" s="92">
        <f t="shared" si="6"/>
        <v>38568.809999999889</v>
      </c>
      <c r="E97" s="94">
        <f t="shared" si="7"/>
        <v>725.54000000000258</v>
      </c>
      <c r="F97" s="104">
        <f t="shared" si="11"/>
        <v>47809.820000000022</v>
      </c>
      <c r="G97" s="1">
        <f t="shared" si="8"/>
        <v>686.4</v>
      </c>
      <c r="H97">
        <f t="shared" si="9"/>
        <v>179.29</v>
      </c>
      <c r="I97">
        <v>51.3</v>
      </c>
      <c r="J97">
        <f t="shared" si="10"/>
        <v>916.99</v>
      </c>
    </row>
    <row r="98" spans="2:10" x14ac:dyDescent="0.2">
      <c r="B98" s="15" t="s">
        <v>33</v>
      </c>
      <c r="C98" s="89">
        <v>2031</v>
      </c>
      <c r="D98" s="92">
        <f t="shared" si="6"/>
        <v>37840.804999999884</v>
      </c>
      <c r="E98" s="94">
        <f t="shared" si="7"/>
        <v>728.00500000000261</v>
      </c>
      <c r="F98" s="104">
        <f t="shared" si="11"/>
        <v>47123.42000000002</v>
      </c>
      <c r="G98" s="1">
        <f t="shared" si="8"/>
        <v>688.98</v>
      </c>
      <c r="H98">
        <f t="shared" si="9"/>
        <v>176.71</v>
      </c>
      <c r="I98">
        <v>51.3</v>
      </c>
      <c r="J98">
        <f t="shared" si="10"/>
        <v>916.99</v>
      </c>
    </row>
    <row r="99" spans="2:10" x14ac:dyDescent="0.2">
      <c r="B99" s="15" t="s">
        <v>34</v>
      </c>
      <c r="C99" s="89">
        <v>2031</v>
      </c>
      <c r="D99" s="92">
        <f t="shared" si="6"/>
        <v>37110.334999999883</v>
      </c>
      <c r="E99" s="94">
        <f t="shared" si="7"/>
        <v>730.47000000000264</v>
      </c>
      <c r="F99" s="104">
        <f t="shared" si="11"/>
        <v>46434.440000000017</v>
      </c>
      <c r="G99" s="1">
        <f t="shared" si="8"/>
        <v>691.56</v>
      </c>
      <c r="H99">
        <f t="shared" si="9"/>
        <v>174.13</v>
      </c>
      <c r="I99">
        <v>51.3</v>
      </c>
      <c r="J99">
        <f t="shared" si="10"/>
        <v>916.99</v>
      </c>
    </row>
    <row r="100" spans="2:10" x14ac:dyDescent="0.2">
      <c r="B100" s="15" t="s">
        <v>35</v>
      </c>
      <c r="C100" s="89">
        <v>2031</v>
      </c>
      <c r="D100" s="92">
        <f t="shared" si="6"/>
        <v>36377.399999999878</v>
      </c>
      <c r="E100" s="94">
        <f t="shared" si="7"/>
        <v>732.93500000000267</v>
      </c>
      <c r="F100" s="104">
        <f t="shared" si="11"/>
        <v>45742.880000000019</v>
      </c>
      <c r="G100" s="1">
        <f t="shared" si="8"/>
        <v>694.15</v>
      </c>
      <c r="H100">
        <f t="shared" si="9"/>
        <v>171.54</v>
      </c>
      <c r="I100">
        <v>51.3</v>
      </c>
      <c r="J100">
        <f t="shared" si="10"/>
        <v>916.99</v>
      </c>
    </row>
    <row r="101" spans="2:10" x14ac:dyDescent="0.2">
      <c r="B101" s="15" t="s">
        <v>36</v>
      </c>
      <c r="C101" s="89">
        <v>2031</v>
      </c>
      <c r="D101" s="92">
        <f t="shared" si="6"/>
        <v>35641.999999999876</v>
      </c>
      <c r="E101" s="94">
        <f t="shared" si="7"/>
        <v>735.40000000000271</v>
      </c>
      <c r="F101" s="104">
        <f t="shared" si="11"/>
        <v>45048.730000000018</v>
      </c>
      <c r="G101" s="1">
        <f t="shared" si="8"/>
        <v>696.76</v>
      </c>
      <c r="H101">
        <f t="shared" si="9"/>
        <v>168.93</v>
      </c>
      <c r="I101">
        <v>51.3</v>
      </c>
      <c r="J101">
        <f t="shared" si="10"/>
        <v>916.99</v>
      </c>
    </row>
    <row r="102" spans="2:10" x14ac:dyDescent="0.2">
      <c r="B102" s="15" t="s">
        <v>37</v>
      </c>
      <c r="C102" s="89">
        <v>2031</v>
      </c>
      <c r="D102" s="92">
        <f t="shared" si="6"/>
        <v>34904.134999999871</v>
      </c>
      <c r="E102" s="94">
        <f t="shared" si="7"/>
        <v>737.86500000000274</v>
      </c>
      <c r="F102" s="104">
        <f t="shared" si="11"/>
        <v>44351.970000000016</v>
      </c>
      <c r="G102" s="1">
        <f t="shared" si="8"/>
        <v>699.37</v>
      </c>
      <c r="H102">
        <f t="shared" si="9"/>
        <v>166.32</v>
      </c>
      <c r="I102">
        <v>51.3</v>
      </c>
      <c r="J102">
        <f t="shared" si="10"/>
        <v>916.99</v>
      </c>
    </row>
    <row r="103" spans="2:10" x14ac:dyDescent="0.2">
      <c r="B103" s="15" t="s">
        <v>38</v>
      </c>
      <c r="C103" s="89">
        <v>2031</v>
      </c>
      <c r="D103" s="92">
        <f t="shared" si="6"/>
        <v>34163.804999999869</v>
      </c>
      <c r="E103" s="94">
        <f t="shared" si="7"/>
        <v>740.33000000000277</v>
      </c>
      <c r="F103" s="104">
        <f t="shared" si="11"/>
        <v>43652.600000000013</v>
      </c>
      <c r="G103" s="1">
        <f t="shared" si="8"/>
        <v>701.99</v>
      </c>
      <c r="H103">
        <f t="shared" si="9"/>
        <v>163.69999999999999</v>
      </c>
      <c r="I103">
        <v>51.3</v>
      </c>
      <c r="J103">
        <f t="shared" si="10"/>
        <v>916.99</v>
      </c>
    </row>
    <row r="104" spans="2:10" x14ac:dyDescent="0.2">
      <c r="B104" s="15" t="s">
        <v>39</v>
      </c>
      <c r="C104" s="89">
        <v>2031</v>
      </c>
      <c r="D104" s="92">
        <f t="shared" si="6"/>
        <v>33421.009999999864</v>
      </c>
      <c r="E104" s="94">
        <f t="shared" si="7"/>
        <v>742.7950000000028</v>
      </c>
      <c r="F104" s="104">
        <f t="shared" si="11"/>
        <v>42950.610000000015</v>
      </c>
      <c r="G104" s="1">
        <f t="shared" si="8"/>
        <v>704.63</v>
      </c>
      <c r="H104">
        <f t="shared" si="9"/>
        <v>161.06</v>
      </c>
      <c r="I104">
        <v>51.3</v>
      </c>
      <c r="J104">
        <f t="shared" si="10"/>
        <v>916.99</v>
      </c>
    </row>
    <row r="105" spans="2:10" x14ac:dyDescent="0.2">
      <c r="B105" s="15" t="s">
        <v>40</v>
      </c>
      <c r="C105" s="89">
        <v>2031</v>
      </c>
      <c r="D105" s="92">
        <f t="shared" si="6"/>
        <v>32675.749999999862</v>
      </c>
      <c r="E105" s="94">
        <f t="shared" si="7"/>
        <v>745.26000000000283</v>
      </c>
      <c r="F105" s="104">
        <f t="shared" si="11"/>
        <v>42245.980000000018</v>
      </c>
      <c r="G105" s="1">
        <f t="shared" si="8"/>
        <v>707.27</v>
      </c>
      <c r="H105">
        <f t="shared" si="9"/>
        <v>158.41999999999999</v>
      </c>
      <c r="I105">
        <v>51.3</v>
      </c>
      <c r="J105">
        <f t="shared" si="10"/>
        <v>916.99</v>
      </c>
    </row>
    <row r="106" spans="2:10" x14ac:dyDescent="0.2">
      <c r="B106" s="15" t="s">
        <v>41</v>
      </c>
      <c r="C106" s="89">
        <v>2031</v>
      </c>
      <c r="D106" s="92">
        <f t="shared" si="6"/>
        <v>31928.02499999986</v>
      </c>
      <c r="E106" s="94">
        <f t="shared" si="7"/>
        <v>747.72500000000286</v>
      </c>
      <c r="F106" s="104">
        <f t="shared" si="11"/>
        <v>41538.710000000021</v>
      </c>
      <c r="G106" s="1">
        <f t="shared" si="8"/>
        <v>709.92</v>
      </c>
      <c r="H106">
        <f t="shared" si="9"/>
        <v>155.77000000000001</v>
      </c>
      <c r="I106">
        <v>51.3</v>
      </c>
      <c r="J106">
        <f t="shared" si="10"/>
        <v>916.99</v>
      </c>
    </row>
    <row r="107" spans="2:10" x14ac:dyDescent="0.2">
      <c r="B107" s="15" t="s">
        <v>30</v>
      </c>
      <c r="C107" s="89">
        <v>2031</v>
      </c>
      <c r="D107" s="92">
        <f t="shared" si="6"/>
        <v>31177.834999999857</v>
      </c>
      <c r="E107" s="94">
        <f t="shared" si="7"/>
        <v>750.1900000000029</v>
      </c>
      <c r="F107" s="104">
        <f t="shared" si="11"/>
        <v>40828.790000000023</v>
      </c>
      <c r="G107" s="1">
        <f t="shared" si="8"/>
        <v>712.58</v>
      </c>
      <c r="H107">
        <f t="shared" si="9"/>
        <v>153.11000000000001</v>
      </c>
      <c r="I107">
        <v>51.3</v>
      </c>
      <c r="J107">
        <f t="shared" si="10"/>
        <v>916.99</v>
      </c>
    </row>
    <row r="108" spans="2:10" x14ac:dyDescent="0.2">
      <c r="B108" s="15" t="s">
        <v>31</v>
      </c>
      <c r="C108" s="89">
        <v>2031</v>
      </c>
      <c r="D108" s="92">
        <f t="shared" si="6"/>
        <v>30425.179999999855</v>
      </c>
      <c r="E108" s="94">
        <f t="shared" si="7"/>
        <v>752.65500000000293</v>
      </c>
      <c r="F108" s="104">
        <f t="shared" si="11"/>
        <v>40116.210000000021</v>
      </c>
      <c r="G108" s="1">
        <f t="shared" si="8"/>
        <v>715.25</v>
      </c>
      <c r="H108">
        <f t="shared" si="9"/>
        <v>150.44</v>
      </c>
      <c r="I108">
        <v>51.3</v>
      </c>
      <c r="J108">
        <f t="shared" si="10"/>
        <v>916.99</v>
      </c>
    </row>
    <row r="109" spans="2:10" x14ac:dyDescent="0.2">
      <c r="B109" s="15" t="s">
        <v>32</v>
      </c>
      <c r="C109" s="89">
        <v>2032</v>
      </c>
      <c r="D109" s="92">
        <f t="shared" si="6"/>
        <v>29670.059999999852</v>
      </c>
      <c r="E109" s="94">
        <f t="shared" si="7"/>
        <v>755.12000000000296</v>
      </c>
      <c r="F109" s="104">
        <f t="shared" si="11"/>
        <v>39400.960000000021</v>
      </c>
      <c r="G109" s="1">
        <f t="shared" si="8"/>
        <v>717.94</v>
      </c>
      <c r="H109">
        <f t="shared" si="9"/>
        <v>147.75</v>
      </c>
      <c r="I109">
        <v>51.3</v>
      </c>
      <c r="J109">
        <f t="shared" si="10"/>
        <v>916.99</v>
      </c>
    </row>
    <row r="110" spans="2:10" x14ac:dyDescent="0.2">
      <c r="B110" s="15" t="s">
        <v>33</v>
      </c>
      <c r="C110" s="89">
        <v>2032</v>
      </c>
      <c r="D110" s="92">
        <f t="shared" si="6"/>
        <v>28912.474999999849</v>
      </c>
      <c r="E110" s="94">
        <f t="shared" si="7"/>
        <v>757.58500000000299</v>
      </c>
      <c r="F110" s="104">
        <f t="shared" si="11"/>
        <v>38683.020000000019</v>
      </c>
      <c r="G110" s="1">
        <f t="shared" si="8"/>
        <v>720.63</v>
      </c>
      <c r="H110">
        <f t="shared" si="9"/>
        <v>145.06</v>
      </c>
      <c r="I110">
        <v>51.3</v>
      </c>
      <c r="J110">
        <f t="shared" si="10"/>
        <v>916.99</v>
      </c>
    </row>
    <row r="111" spans="2:10" x14ac:dyDescent="0.2">
      <c r="B111" s="15" t="s">
        <v>34</v>
      </c>
      <c r="C111" s="89">
        <v>2032</v>
      </c>
      <c r="D111" s="92">
        <f t="shared" si="6"/>
        <v>28152.424999999846</v>
      </c>
      <c r="E111" s="94">
        <f t="shared" si="7"/>
        <v>760.05000000000302</v>
      </c>
      <c r="F111" s="104">
        <f t="shared" si="11"/>
        <v>37962.390000000021</v>
      </c>
      <c r="G111" s="1">
        <f t="shared" si="8"/>
        <v>723.33</v>
      </c>
      <c r="H111">
        <f t="shared" si="9"/>
        <v>142.36000000000001</v>
      </c>
      <c r="I111">
        <v>51.3</v>
      </c>
      <c r="J111">
        <f t="shared" si="10"/>
        <v>916.99</v>
      </c>
    </row>
    <row r="112" spans="2:10" x14ac:dyDescent="0.2">
      <c r="B112" s="15" t="s">
        <v>35</v>
      </c>
      <c r="C112" s="89">
        <v>2032</v>
      </c>
      <c r="D112" s="92">
        <f t="shared" si="6"/>
        <v>27389.909999999843</v>
      </c>
      <c r="E112" s="94">
        <f t="shared" si="7"/>
        <v>762.51500000000306</v>
      </c>
      <c r="F112" s="104">
        <f t="shared" si="11"/>
        <v>37239.060000000019</v>
      </c>
      <c r="G112" s="1">
        <f t="shared" si="8"/>
        <v>726.04</v>
      </c>
      <c r="H112">
        <f t="shared" si="9"/>
        <v>139.65</v>
      </c>
      <c r="I112">
        <v>51.3</v>
      </c>
      <c r="J112">
        <f t="shared" si="10"/>
        <v>916.99</v>
      </c>
    </row>
    <row r="113" spans="2:10" x14ac:dyDescent="0.2">
      <c r="B113" s="15" t="s">
        <v>36</v>
      </c>
      <c r="C113" s="89">
        <v>2032</v>
      </c>
      <c r="D113" s="92">
        <f t="shared" si="6"/>
        <v>26624.92999999984</v>
      </c>
      <c r="E113" s="94">
        <f t="shared" si="7"/>
        <v>764.98000000000309</v>
      </c>
      <c r="F113" s="104">
        <f t="shared" si="11"/>
        <v>36513.020000000019</v>
      </c>
      <c r="G113" s="1">
        <f t="shared" si="8"/>
        <v>728.77</v>
      </c>
      <c r="H113">
        <f t="shared" si="9"/>
        <v>136.91999999999999</v>
      </c>
      <c r="I113">
        <v>51.3</v>
      </c>
      <c r="J113">
        <f t="shared" si="10"/>
        <v>916.99</v>
      </c>
    </row>
    <row r="114" spans="2:10" x14ac:dyDescent="0.2">
      <c r="B114" s="15" t="s">
        <v>37</v>
      </c>
      <c r="C114" s="89">
        <v>2032</v>
      </c>
      <c r="D114" s="92">
        <f t="shared" si="6"/>
        <v>25857.484999999837</v>
      </c>
      <c r="E114" s="94">
        <f t="shared" si="7"/>
        <v>767.44500000000312</v>
      </c>
      <c r="F114" s="104">
        <f t="shared" si="11"/>
        <v>35784.250000000022</v>
      </c>
      <c r="G114" s="1">
        <f t="shared" si="8"/>
        <v>731.5</v>
      </c>
      <c r="H114">
        <f t="shared" si="9"/>
        <v>134.19</v>
      </c>
      <c r="I114">
        <v>51.3</v>
      </c>
      <c r="J114">
        <f t="shared" si="10"/>
        <v>916.99</v>
      </c>
    </row>
    <row r="115" spans="2:10" x14ac:dyDescent="0.2">
      <c r="B115" s="15" t="s">
        <v>38</v>
      </c>
      <c r="C115" s="89">
        <v>2032</v>
      </c>
      <c r="D115" s="92">
        <f t="shared" si="6"/>
        <v>25087.574999999833</v>
      </c>
      <c r="E115" s="94">
        <f t="shared" si="7"/>
        <v>769.91000000000315</v>
      </c>
      <c r="F115" s="104">
        <f t="shared" si="11"/>
        <v>35052.750000000022</v>
      </c>
      <c r="G115" s="1">
        <f t="shared" si="8"/>
        <v>734.24</v>
      </c>
      <c r="H115">
        <f t="shared" si="9"/>
        <v>131.44999999999999</v>
      </c>
      <c r="I115">
        <v>51.3</v>
      </c>
      <c r="J115">
        <f t="shared" si="10"/>
        <v>916.99</v>
      </c>
    </row>
    <row r="116" spans="2:10" x14ac:dyDescent="0.2">
      <c r="B116" s="15" t="s">
        <v>39</v>
      </c>
      <c r="C116" s="89">
        <v>2032</v>
      </c>
      <c r="D116" s="92">
        <f t="shared" si="6"/>
        <v>24315.19999999983</v>
      </c>
      <c r="E116" s="94">
        <f t="shared" si="7"/>
        <v>772.37500000000318</v>
      </c>
      <c r="F116" s="104">
        <f t="shared" si="11"/>
        <v>34318.510000000024</v>
      </c>
      <c r="G116" s="1">
        <f t="shared" si="8"/>
        <v>737</v>
      </c>
      <c r="H116">
        <f t="shared" si="9"/>
        <v>128.69</v>
      </c>
      <c r="I116">
        <v>51.3</v>
      </c>
      <c r="J116">
        <f t="shared" si="10"/>
        <v>916.99</v>
      </c>
    </row>
    <row r="117" spans="2:10" x14ac:dyDescent="0.2">
      <c r="B117" s="15" t="s">
        <v>40</v>
      </c>
      <c r="C117" s="89">
        <v>2032</v>
      </c>
      <c r="D117" s="92">
        <f t="shared" si="6"/>
        <v>23540.359999999826</v>
      </c>
      <c r="E117" s="94">
        <f t="shared" si="7"/>
        <v>774.84000000000322</v>
      </c>
      <c r="F117" s="104">
        <f t="shared" si="11"/>
        <v>33581.510000000024</v>
      </c>
      <c r="G117" s="1">
        <f t="shared" si="8"/>
        <v>739.76</v>
      </c>
      <c r="H117">
        <f t="shared" si="9"/>
        <v>125.93</v>
      </c>
      <c r="I117">
        <v>51.3</v>
      </c>
      <c r="J117">
        <f t="shared" si="10"/>
        <v>916.99</v>
      </c>
    </row>
    <row r="118" spans="2:10" x14ac:dyDescent="0.2">
      <c r="B118" s="15" t="s">
        <v>41</v>
      </c>
      <c r="C118" s="89">
        <v>2032</v>
      </c>
      <c r="D118" s="92">
        <f t="shared" si="6"/>
        <v>22763.054999999822</v>
      </c>
      <c r="E118" s="94">
        <f t="shared" si="7"/>
        <v>777.30500000000325</v>
      </c>
      <c r="F118" s="104">
        <f t="shared" si="11"/>
        <v>32841.750000000022</v>
      </c>
      <c r="G118" s="1">
        <f t="shared" si="8"/>
        <v>742.53</v>
      </c>
      <c r="H118">
        <f t="shared" si="9"/>
        <v>123.16</v>
      </c>
      <c r="I118">
        <v>51.3</v>
      </c>
      <c r="J118">
        <f t="shared" si="10"/>
        <v>916.99</v>
      </c>
    </row>
    <row r="119" spans="2:10" x14ac:dyDescent="0.2">
      <c r="B119" s="15" t="s">
        <v>30</v>
      </c>
      <c r="C119" s="89">
        <v>2032</v>
      </c>
      <c r="D119" s="92">
        <f t="shared" si="6"/>
        <v>21983.284999999818</v>
      </c>
      <c r="E119" s="94">
        <f t="shared" si="7"/>
        <v>779.77000000000328</v>
      </c>
      <c r="F119" s="104">
        <f t="shared" si="11"/>
        <v>32099.220000000023</v>
      </c>
      <c r="G119" s="1">
        <f t="shared" si="8"/>
        <v>745.32</v>
      </c>
      <c r="H119">
        <f t="shared" si="9"/>
        <v>120.37</v>
      </c>
      <c r="I119">
        <v>51.3</v>
      </c>
      <c r="J119">
        <f t="shared" si="10"/>
        <v>916.99</v>
      </c>
    </row>
    <row r="120" spans="2:10" x14ac:dyDescent="0.2">
      <c r="B120" s="15" t="s">
        <v>31</v>
      </c>
      <c r="C120" s="89">
        <v>2032</v>
      </c>
      <c r="D120" s="92">
        <f t="shared" si="6"/>
        <v>21201.049999999814</v>
      </c>
      <c r="E120" s="94">
        <f t="shared" si="7"/>
        <v>782.23500000000331</v>
      </c>
      <c r="F120" s="104">
        <f t="shared" si="11"/>
        <v>31353.900000000023</v>
      </c>
      <c r="G120" s="1">
        <f t="shared" si="8"/>
        <v>748.11</v>
      </c>
      <c r="H120">
        <f t="shared" si="9"/>
        <v>117.58</v>
      </c>
      <c r="I120">
        <v>51.3</v>
      </c>
      <c r="J120">
        <f t="shared" si="10"/>
        <v>916.99</v>
      </c>
    </row>
    <row r="121" spans="2:10" x14ac:dyDescent="0.2">
      <c r="B121" s="15" t="s">
        <v>32</v>
      </c>
      <c r="C121" s="89">
        <v>2033</v>
      </c>
      <c r="D121" s="92">
        <f t="shared" si="6"/>
        <v>20416.349999999809</v>
      </c>
      <c r="E121" s="94">
        <f t="shared" si="7"/>
        <v>784.70000000000334</v>
      </c>
      <c r="F121" s="104">
        <f t="shared" si="11"/>
        <v>30605.790000000023</v>
      </c>
      <c r="G121" s="1">
        <f t="shared" si="8"/>
        <v>750.92</v>
      </c>
      <c r="H121">
        <f t="shared" si="9"/>
        <v>114.77</v>
      </c>
      <c r="I121">
        <v>51.3</v>
      </c>
      <c r="J121">
        <f t="shared" si="10"/>
        <v>916.99</v>
      </c>
    </row>
    <row r="122" spans="2:10" x14ac:dyDescent="0.2">
      <c r="B122" s="15" t="s">
        <v>33</v>
      </c>
      <c r="C122" s="89">
        <v>2033</v>
      </c>
      <c r="D122" s="92">
        <f t="shared" si="6"/>
        <v>19629.184999999805</v>
      </c>
      <c r="E122" s="94">
        <f t="shared" si="7"/>
        <v>787.16500000000337</v>
      </c>
      <c r="F122" s="104">
        <f t="shared" si="11"/>
        <v>29854.870000000024</v>
      </c>
      <c r="G122" s="1">
        <f t="shared" si="8"/>
        <v>753.73</v>
      </c>
      <c r="H122">
        <f t="shared" si="9"/>
        <v>111.96</v>
      </c>
      <c r="I122">
        <v>51.3</v>
      </c>
      <c r="J122">
        <f t="shared" si="10"/>
        <v>916.99</v>
      </c>
    </row>
    <row r="123" spans="2:10" x14ac:dyDescent="0.2">
      <c r="B123" s="15" t="s">
        <v>34</v>
      </c>
      <c r="C123" s="89">
        <v>2033</v>
      </c>
      <c r="D123" s="92">
        <f t="shared" si="6"/>
        <v>18839.5549999998</v>
      </c>
      <c r="E123" s="94">
        <f t="shared" si="7"/>
        <v>789.63000000000341</v>
      </c>
      <c r="F123" s="104">
        <f t="shared" si="11"/>
        <v>29101.140000000025</v>
      </c>
      <c r="G123" s="1">
        <f t="shared" si="8"/>
        <v>756.56</v>
      </c>
      <c r="H123">
        <f t="shared" si="9"/>
        <v>109.13</v>
      </c>
      <c r="I123">
        <v>51.3</v>
      </c>
      <c r="J123">
        <f t="shared" si="10"/>
        <v>916.99</v>
      </c>
    </row>
    <row r="124" spans="2:10" x14ac:dyDescent="0.2">
      <c r="B124" s="15" t="s">
        <v>35</v>
      </c>
      <c r="C124" s="89">
        <v>2033</v>
      </c>
      <c r="D124" s="92">
        <f t="shared" si="6"/>
        <v>18047.459999999795</v>
      </c>
      <c r="E124" s="94">
        <f t="shared" si="7"/>
        <v>792.09500000000344</v>
      </c>
      <c r="F124" s="104">
        <f t="shared" si="11"/>
        <v>28344.580000000024</v>
      </c>
      <c r="G124" s="1">
        <f t="shared" si="8"/>
        <v>759.4</v>
      </c>
      <c r="H124">
        <f t="shared" si="9"/>
        <v>106.29</v>
      </c>
      <c r="I124">
        <v>51.3</v>
      </c>
      <c r="J124">
        <f t="shared" si="10"/>
        <v>916.99</v>
      </c>
    </row>
    <row r="125" spans="2:10" x14ac:dyDescent="0.2">
      <c r="B125" s="15" t="s">
        <v>36</v>
      </c>
      <c r="C125" s="89">
        <v>2033</v>
      </c>
      <c r="D125" s="92">
        <f t="shared" si="6"/>
        <v>17252.89999999979</v>
      </c>
      <c r="E125" s="94">
        <f t="shared" si="7"/>
        <v>794.56000000000347</v>
      </c>
      <c r="F125" s="104">
        <f t="shared" si="11"/>
        <v>27585.180000000022</v>
      </c>
      <c r="G125" s="1">
        <f t="shared" si="8"/>
        <v>762.25</v>
      </c>
      <c r="H125">
        <f t="shared" si="9"/>
        <v>103.44</v>
      </c>
      <c r="I125">
        <v>51.3</v>
      </c>
      <c r="J125">
        <f t="shared" si="10"/>
        <v>916.99</v>
      </c>
    </row>
    <row r="126" spans="2:10" x14ac:dyDescent="0.2">
      <c r="B126" s="15" t="s">
        <v>37</v>
      </c>
      <c r="C126" s="89">
        <v>2033</v>
      </c>
      <c r="D126" s="92">
        <f t="shared" si="6"/>
        <v>16455.874999999785</v>
      </c>
      <c r="E126" s="94">
        <f t="shared" si="7"/>
        <v>797.0250000000035</v>
      </c>
      <c r="F126" s="104">
        <f t="shared" si="11"/>
        <v>26822.930000000022</v>
      </c>
      <c r="G126" s="1">
        <f t="shared" si="8"/>
        <v>765.1</v>
      </c>
      <c r="H126">
        <f t="shared" si="9"/>
        <v>100.59</v>
      </c>
      <c r="I126">
        <v>51.3</v>
      </c>
      <c r="J126">
        <f t="shared" si="10"/>
        <v>916.99</v>
      </c>
    </row>
    <row r="127" spans="2:10" x14ac:dyDescent="0.2">
      <c r="B127" s="15" t="s">
        <v>38</v>
      </c>
      <c r="C127" s="89">
        <v>2033</v>
      </c>
      <c r="D127" s="92">
        <f t="shared" si="6"/>
        <v>15656.384999999782</v>
      </c>
      <c r="E127" s="94">
        <f t="shared" si="7"/>
        <v>799.49000000000353</v>
      </c>
      <c r="F127" s="104">
        <f t="shared" si="11"/>
        <v>26057.830000000024</v>
      </c>
      <c r="G127" s="1">
        <f t="shared" si="8"/>
        <v>767.97</v>
      </c>
      <c r="H127">
        <f t="shared" si="9"/>
        <v>97.72</v>
      </c>
      <c r="I127">
        <v>51.3</v>
      </c>
      <c r="J127">
        <f t="shared" si="10"/>
        <v>916.99</v>
      </c>
    </row>
    <row r="128" spans="2:10" x14ac:dyDescent="0.2">
      <c r="B128" s="15" t="s">
        <v>39</v>
      </c>
      <c r="C128" s="89">
        <v>2033</v>
      </c>
      <c r="D128" s="92">
        <f t="shared" si="6"/>
        <v>14854.429999999778</v>
      </c>
      <c r="E128" s="94">
        <f t="shared" si="7"/>
        <v>801.95500000000357</v>
      </c>
      <c r="F128" s="104">
        <f t="shared" si="11"/>
        <v>25289.860000000022</v>
      </c>
      <c r="G128" s="1">
        <f t="shared" si="8"/>
        <v>770.85</v>
      </c>
      <c r="H128">
        <f t="shared" si="9"/>
        <v>94.84</v>
      </c>
      <c r="I128">
        <v>51.3</v>
      </c>
      <c r="J128">
        <f t="shared" si="10"/>
        <v>916.99</v>
      </c>
    </row>
    <row r="129" spans="2:10" x14ac:dyDescent="0.2">
      <c r="B129" s="15" t="s">
        <v>40</v>
      </c>
      <c r="C129" s="89">
        <v>2033</v>
      </c>
      <c r="D129" s="92">
        <f t="shared" si="6"/>
        <v>14050.009999999775</v>
      </c>
      <c r="E129" s="94">
        <f t="shared" si="7"/>
        <v>804.4200000000036</v>
      </c>
      <c r="F129" s="104">
        <f t="shared" si="11"/>
        <v>24519.010000000024</v>
      </c>
      <c r="G129" s="1">
        <f t="shared" si="8"/>
        <v>773.74</v>
      </c>
      <c r="H129">
        <f t="shared" si="9"/>
        <v>91.95</v>
      </c>
      <c r="I129">
        <v>51.3</v>
      </c>
      <c r="J129">
        <f t="shared" si="10"/>
        <v>916.99</v>
      </c>
    </row>
    <row r="130" spans="2:10" x14ac:dyDescent="0.2">
      <c r="B130" s="15" t="s">
        <v>41</v>
      </c>
      <c r="C130" s="89">
        <v>2033</v>
      </c>
      <c r="D130" s="92">
        <f t="shared" si="6"/>
        <v>13243.124999999771</v>
      </c>
      <c r="E130" s="94">
        <f t="shared" si="7"/>
        <v>806.88500000000363</v>
      </c>
      <c r="F130" s="104">
        <f t="shared" si="11"/>
        <v>23745.270000000022</v>
      </c>
      <c r="G130" s="1">
        <f t="shared" si="8"/>
        <v>776.65</v>
      </c>
      <c r="H130">
        <f t="shared" si="9"/>
        <v>89.04</v>
      </c>
      <c r="I130">
        <v>51.3</v>
      </c>
      <c r="J130">
        <f t="shared" si="10"/>
        <v>916.99</v>
      </c>
    </row>
    <row r="131" spans="2:10" x14ac:dyDescent="0.2">
      <c r="B131" s="15" t="s">
        <v>30</v>
      </c>
      <c r="C131" s="89">
        <v>2033</v>
      </c>
      <c r="D131" s="92">
        <f t="shared" si="6"/>
        <v>12433.774999999767</v>
      </c>
      <c r="E131" s="94">
        <f t="shared" si="7"/>
        <v>809.35000000000366</v>
      </c>
      <c r="F131" s="104">
        <f t="shared" si="11"/>
        <v>22968.620000000021</v>
      </c>
      <c r="G131" s="1">
        <f t="shared" si="8"/>
        <v>779.56</v>
      </c>
      <c r="H131">
        <f t="shared" si="9"/>
        <v>86.13</v>
      </c>
      <c r="I131">
        <v>51.3</v>
      </c>
      <c r="J131">
        <f t="shared" si="10"/>
        <v>916.99</v>
      </c>
    </row>
    <row r="132" spans="2:10" x14ac:dyDescent="0.2">
      <c r="B132" s="15" t="s">
        <v>31</v>
      </c>
      <c r="C132" s="89">
        <v>2033</v>
      </c>
      <c r="D132" s="92">
        <f t="shared" si="6"/>
        <v>11621.959999999763</v>
      </c>
      <c r="E132" s="94">
        <f t="shared" si="7"/>
        <v>811.81500000000369</v>
      </c>
      <c r="F132" s="104">
        <f t="shared" si="11"/>
        <v>22189.060000000019</v>
      </c>
      <c r="G132" s="1">
        <f t="shared" si="8"/>
        <v>782.48</v>
      </c>
      <c r="H132">
        <f t="shared" si="9"/>
        <v>83.21</v>
      </c>
      <c r="I132">
        <v>51.3</v>
      </c>
      <c r="J132">
        <f t="shared" si="10"/>
        <v>916.99</v>
      </c>
    </row>
    <row r="133" spans="2:10" x14ac:dyDescent="0.2">
      <c r="B133" s="15" t="s">
        <v>32</v>
      </c>
      <c r="C133" s="89">
        <v>2034</v>
      </c>
      <c r="D133" s="92">
        <f t="shared" si="6"/>
        <v>10807.679999999758</v>
      </c>
      <c r="E133" s="94">
        <f t="shared" si="7"/>
        <v>814.28000000000372</v>
      </c>
      <c r="F133" s="104">
        <f t="shared" si="11"/>
        <v>21406.58000000002</v>
      </c>
      <c r="G133" s="1">
        <f t="shared" si="8"/>
        <v>785.42</v>
      </c>
      <c r="H133">
        <f t="shared" si="9"/>
        <v>80.27</v>
      </c>
      <c r="I133">
        <v>51.3</v>
      </c>
      <c r="J133">
        <f t="shared" si="10"/>
        <v>916.99</v>
      </c>
    </row>
    <row r="134" spans="2:10" x14ac:dyDescent="0.2">
      <c r="B134" s="15" t="s">
        <v>33</v>
      </c>
      <c r="C134" s="89">
        <v>2034</v>
      </c>
      <c r="D134" s="92">
        <f t="shared" si="6"/>
        <v>9990.9349999997539</v>
      </c>
      <c r="E134" s="94">
        <f t="shared" si="7"/>
        <v>816.74500000000376</v>
      </c>
      <c r="F134" s="104">
        <f t="shared" si="11"/>
        <v>20621.160000000022</v>
      </c>
      <c r="G134" s="1">
        <f t="shared" si="8"/>
        <v>788.36</v>
      </c>
      <c r="H134">
        <f t="shared" si="9"/>
        <v>77.33</v>
      </c>
      <c r="I134">
        <v>51.3</v>
      </c>
      <c r="J134">
        <f t="shared" si="10"/>
        <v>916.99</v>
      </c>
    </row>
    <row r="135" spans="2:10" x14ac:dyDescent="0.2">
      <c r="B135" s="15" t="s">
        <v>34</v>
      </c>
      <c r="C135" s="89">
        <v>2034</v>
      </c>
      <c r="D135" s="92">
        <f t="shared" ref="D135:D148" si="12">D134-$E135</f>
        <v>9171.7249999997493</v>
      </c>
      <c r="E135" s="94">
        <f t="shared" ref="E135:E148" si="13">E134+2.465</f>
        <v>819.21000000000379</v>
      </c>
      <c r="F135" s="104">
        <f t="shared" si="11"/>
        <v>19832.800000000021</v>
      </c>
      <c r="G135" s="1">
        <f t="shared" si="8"/>
        <v>791.32</v>
      </c>
      <c r="H135">
        <f t="shared" si="9"/>
        <v>74.37</v>
      </c>
      <c r="I135">
        <v>51.3</v>
      </c>
      <c r="J135">
        <f t="shared" si="10"/>
        <v>916.99</v>
      </c>
    </row>
    <row r="136" spans="2:10" x14ac:dyDescent="0.2">
      <c r="B136" s="15" t="s">
        <v>35</v>
      </c>
      <c r="C136" s="89">
        <v>2034</v>
      </c>
      <c r="D136" s="92">
        <f t="shared" si="12"/>
        <v>8350.0499999997446</v>
      </c>
      <c r="E136" s="94">
        <f t="shared" si="13"/>
        <v>821.67500000000382</v>
      </c>
      <c r="F136" s="104">
        <f t="shared" si="11"/>
        <v>19041.480000000021</v>
      </c>
      <c r="G136" s="1">
        <f t="shared" si="8"/>
        <v>794.28</v>
      </c>
      <c r="H136">
        <f t="shared" si="9"/>
        <v>71.41</v>
      </c>
      <c r="I136">
        <v>51.3</v>
      </c>
      <c r="J136">
        <f t="shared" si="10"/>
        <v>916.99</v>
      </c>
    </row>
    <row r="137" spans="2:10" x14ac:dyDescent="0.2">
      <c r="B137" s="15" t="s">
        <v>36</v>
      </c>
      <c r="C137" s="89">
        <v>2034</v>
      </c>
      <c r="D137" s="92">
        <f t="shared" si="12"/>
        <v>7525.9099999997406</v>
      </c>
      <c r="E137" s="94">
        <f t="shared" si="13"/>
        <v>824.14000000000385</v>
      </c>
      <c r="F137" s="104">
        <f t="shared" si="11"/>
        <v>18247.200000000023</v>
      </c>
      <c r="G137" s="1">
        <f t="shared" si="8"/>
        <v>797.26</v>
      </c>
      <c r="H137">
        <f t="shared" si="9"/>
        <v>68.430000000000007</v>
      </c>
      <c r="I137">
        <v>51.3</v>
      </c>
      <c r="J137">
        <f t="shared" si="10"/>
        <v>916.99</v>
      </c>
    </row>
    <row r="138" spans="2:10" x14ac:dyDescent="0.2">
      <c r="B138" s="15" t="s">
        <v>37</v>
      </c>
      <c r="C138" s="89">
        <v>2034</v>
      </c>
      <c r="D138" s="92">
        <f t="shared" si="12"/>
        <v>6699.3049999997365</v>
      </c>
      <c r="E138" s="94">
        <f t="shared" si="13"/>
        <v>826.60500000000388</v>
      </c>
      <c r="F138" s="104">
        <f t="shared" si="11"/>
        <v>17449.940000000024</v>
      </c>
      <c r="G138" s="1">
        <f t="shared" si="8"/>
        <v>800.25</v>
      </c>
      <c r="H138">
        <f t="shared" si="9"/>
        <v>65.44</v>
      </c>
      <c r="I138">
        <v>51.3</v>
      </c>
      <c r="J138">
        <f t="shared" si="10"/>
        <v>916.99</v>
      </c>
    </row>
    <row r="139" spans="2:10" x14ac:dyDescent="0.2">
      <c r="B139" s="15" t="s">
        <v>38</v>
      </c>
      <c r="C139" s="89">
        <v>2034</v>
      </c>
      <c r="D139" s="92">
        <f t="shared" si="12"/>
        <v>5870.2349999997323</v>
      </c>
      <c r="E139" s="94">
        <f t="shared" si="13"/>
        <v>829.07000000000392</v>
      </c>
      <c r="F139" s="104">
        <f t="shared" si="11"/>
        <v>16649.690000000024</v>
      </c>
      <c r="G139" s="1">
        <f t="shared" si="8"/>
        <v>803.25</v>
      </c>
      <c r="H139">
        <f t="shared" si="9"/>
        <v>62.44</v>
      </c>
      <c r="I139">
        <v>51.3</v>
      </c>
      <c r="J139">
        <f t="shared" si="10"/>
        <v>916.99</v>
      </c>
    </row>
    <row r="140" spans="2:10" x14ac:dyDescent="0.2">
      <c r="B140" s="15" t="s">
        <v>39</v>
      </c>
      <c r="C140" s="89">
        <v>2034</v>
      </c>
      <c r="D140" s="92">
        <f t="shared" si="12"/>
        <v>5038.6999999997279</v>
      </c>
      <c r="E140" s="94">
        <f t="shared" si="13"/>
        <v>831.53500000000395</v>
      </c>
      <c r="F140" s="104">
        <f t="shared" si="11"/>
        <v>15846.440000000024</v>
      </c>
      <c r="G140" s="1">
        <f t="shared" si="8"/>
        <v>806.27</v>
      </c>
      <c r="H140">
        <f t="shared" si="9"/>
        <v>59.42</v>
      </c>
      <c r="I140">
        <v>51.3</v>
      </c>
      <c r="J140">
        <f t="shared" si="10"/>
        <v>916.99</v>
      </c>
    </row>
    <row r="141" spans="2:10" x14ac:dyDescent="0.2">
      <c r="B141" s="15" t="s">
        <v>40</v>
      </c>
      <c r="C141" s="89">
        <v>2034</v>
      </c>
      <c r="D141" s="92">
        <f t="shared" si="12"/>
        <v>4204.6999999997242</v>
      </c>
      <c r="E141" s="94">
        <f t="shared" si="13"/>
        <v>834.00000000000398</v>
      </c>
      <c r="F141" s="104">
        <f t="shared" si="11"/>
        <v>15040.170000000024</v>
      </c>
      <c r="G141" s="1">
        <f t="shared" si="8"/>
        <v>809.29</v>
      </c>
      <c r="H141">
        <f t="shared" si="9"/>
        <v>56.4</v>
      </c>
      <c r="I141">
        <v>51.3</v>
      </c>
      <c r="J141">
        <f t="shared" si="10"/>
        <v>916.99</v>
      </c>
    </row>
    <row r="142" spans="2:10" x14ac:dyDescent="0.2">
      <c r="B142" s="15" t="s">
        <v>41</v>
      </c>
      <c r="C142" s="89">
        <v>2034</v>
      </c>
      <c r="D142" s="92">
        <f t="shared" si="12"/>
        <v>3368.2349999997205</v>
      </c>
      <c r="E142" s="94">
        <f t="shared" si="13"/>
        <v>836.46500000000401</v>
      </c>
      <c r="F142" s="104">
        <f t="shared" si="11"/>
        <v>14230.880000000023</v>
      </c>
      <c r="G142" s="1">
        <f t="shared" si="8"/>
        <v>812.32</v>
      </c>
      <c r="H142">
        <f t="shared" si="9"/>
        <v>53.37</v>
      </c>
      <c r="I142">
        <v>51.3</v>
      </c>
      <c r="J142">
        <f t="shared" si="10"/>
        <v>916.99</v>
      </c>
    </row>
    <row r="143" spans="2:10" x14ac:dyDescent="0.2">
      <c r="B143" s="15" t="s">
        <v>30</v>
      </c>
      <c r="C143" s="89">
        <v>2034</v>
      </c>
      <c r="D143" s="92">
        <f t="shared" si="12"/>
        <v>2529.3049999997165</v>
      </c>
      <c r="E143" s="94">
        <f t="shared" si="13"/>
        <v>838.93000000000404</v>
      </c>
      <c r="F143" s="104">
        <f t="shared" si="11"/>
        <v>13418.560000000023</v>
      </c>
      <c r="G143" s="1">
        <f t="shared" si="8"/>
        <v>815.37</v>
      </c>
      <c r="H143">
        <f t="shared" si="9"/>
        <v>50.32</v>
      </c>
      <c r="I143">
        <v>51.3</v>
      </c>
      <c r="J143">
        <f t="shared" si="10"/>
        <v>916.99</v>
      </c>
    </row>
    <row r="144" spans="2:10" x14ac:dyDescent="0.2">
      <c r="B144" s="15" t="s">
        <v>31</v>
      </c>
      <c r="C144" s="89">
        <v>2034</v>
      </c>
      <c r="D144" s="92">
        <f t="shared" si="12"/>
        <v>1687.9099999997125</v>
      </c>
      <c r="E144" s="94">
        <f t="shared" si="13"/>
        <v>841.39500000000407</v>
      </c>
      <c r="F144" s="104">
        <f t="shared" si="11"/>
        <v>12603.190000000022</v>
      </c>
      <c r="G144" s="1">
        <f t="shared" si="8"/>
        <v>818.43</v>
      </c>
      <c r="H144">
        <f t="shared" si="9"/>
        <v>47.26</v>
      </c>
      <c r="I144">
        <v>51.3</v>
      </c>
      <c r="J144">
        <f t="shared" si="10"/>
        <v>916.99</v>
      </c>
    </row>
    <row r="145" spans="2:10" x14ac:dyDescent="0.2">
      <c r="B145" s="15" t="s">
        <v>32</v>
      </c>
      <c r="C145" s="89">
        <v>2035</v>
      </c>
      <c r="D145" s="92">
        <f t="shared" si="12"/>
        <v>844.04999999970835</v>
      </c>
      <c r="E145" s="94">
        <f t="shared" si="13"/>
        <v>843.86000000000411</v>
      </c>
      <c r="F145" s="104">
        <f t="shared" si="11"/>
        <v>11784.760000000022</v>
      </c>
      <c r="G145" s="1">
        <f t="shared" si="8"/>
        <v>821.5</v>
      </c>
      <c r="H145">
        <f t="shared" si="9"/>
        <v>44.19</v>
      </c>
      <c r="I145">
        <v>51.3</v>
      </c>
      <c r="J145">
        <f t="shared" si="10"/>
        <v>916.99</v>
      </c>
    </row>
    <row r="146" spans="2:10" x14ac:dyDescent="0.2">
      <c r="B146" s="15" t="s">
        <v>33</v>
      </c>
      <c r="C146" s="89">
        <v>2035</v>
      </c>
      <c r="D146" s="92">
        <f t="shared" si="12"/>
        <v>-2.2750000002957904</v>
      </c>
      <c r="E146" s="94">
        <f t="shared" si="13"/>
        <v>846.32500000000414</v>
      </c>
      <c r="F146" s="104">
        <f t="shared" si="11"/>
        <v>10963.260000000022</v>
      </c>
      <c r="G146" s="1">
        <f t="shared" si="8"/>
        <v>824.58</v>
      </c>
      <c r="H146">
        <f t="shared" si="9"/>
        <v>41.11</v>
      </c>
      <c r="I146">
        <v>51.3</v>
      </c>
      <c r="J146">
        <f t="shared" si="10"/>
        <v>916.99</v>
      </c>
    </row>
    <row r="147" spans="2:10" x14ac:dyDescent="0.2">
      <c r="B147" s="15" t="s">
        <v>34</v>
      </c>
      <c r="C147" s="89">
        <v>2035</v>
      </c>
      <c r="D147" s="92">
        <f t="shared" si="12"/>
        <v>-851.06500000029996</v>
      </c>
      <c r="E147" s="94">
        <f t="shared" si="13"/>
        <v>848.79000000000417</v>
      </c>
      <c r="F147" s="104">
        <f t="shared" si="11"/>
        <v>10138.680000000022</v>
      </c>
      <c r="G147" s="1">
        <f t="shared" si="8"/>
        <v>827.67</v>
      </c>
      <c r="H147">
        <f t="shared" si="9"/>
        <v>38.020000000000003</v>
      </c>
      <c r="I147">
        <v>51.3</v>
      </c>
      <c r="J147">
        <f t="shared" si="10"/>
        <v>916.99</v>
      </c>
    </row>
    <row r="148" spans="2:10" x14ac:dyDescent="0.2">
      <c r="B148" s="15" t="s">
        <v>35</v>
      </c>
      <c r="C148" s="89">
        <v>2035</v>
      </c>
      <c r="D148" s="92">
        <f t="shared" si="12"/>
        <v>-1702.3200000003042</v>
      </c>
      <c r="E148" s="94">
        <f t="shared" si="13"/>
        <v>851.2550000000042</v>
      </c>
      <c r="F148" s="104">
        <f t="shared" si="11"/>
        <v>9311.010000000022</v>
      </c>
      <c r="G148" s="1">
        <f t="shared" si="8"/>
        <v>830.77</v>
      </c>
      <c r="H148">
        <f t="shared" si="9"/>
        <v>34.92</v>
      </c>
      <c r="I148">
        <v>51.3</v>
      </c>
      <c r="J148">
        <f t="shared" si="10"/>
        <v>916.99</v>
      </c>
    </row>
    <row r="149" spans="2:10" x14ac:dyDescent="0.2">
      <c r="B149" s="15" t="s">
        <v>36</v>
      </c>
      <c r="C149" s="89">
        <v>2035</v>
      </c>
      <c r="D149" s="1"/>
      <c r="E149" s="1"/>
      <c r="F149" s="104">
        <f t="shared" si="11"/>
        <v>8480.2400000000216</v>
      </c>
      <c r="G149" s="1">
        <f t="shared" si="8"/>
        <v>833.89</v>
      </c>
      <c r="H149">
        <f t="shared" si="9"/>
        <v>31.8</v>
      </c>
      <c r="I149">
        <v>51.3</v>
      </c>
      <c r="J149">
        <f t="shared" si="10"/>
        <v>916.99</v>
      </c>
    </row>
    <row r="150" spans="2:10" x14ac:dyDescent="0.2">
      <c r="B150" s="15" t="s">
        <v>37</v>
      </c>
      <c r="C150" s="89">
        <v>2035</v>
      </c>
      <c r="D150" s="1"/>
      <c r="E150" s="1"/>
      <c r="F150" s="104">
        <f t="shared" si="11"/>
        <v>7646.3500000000213</v>
      </c>
      <c r="G150" s="1">
        <f t="shared" si="8"/>
        <v>837.02</v>
      </c>
      <c r="H150">
        <f t="shared" si="9"/>
        <v>28.67</v>
      </c>
      <c r="I150">
        <v>51.3</v>
      </c>
      <c r="J150">
        <f t="shared" si="10"/>
        <v>916.99</v>
      </c>
    </row>
    <row r="151" spans="2:10" x14ac:dyDescent="0.2">
      <c r="B151" s="15" t="s">
        <v>38</v>
      </c>
      <c r="C151" s="89">
        <v>2035</v>
      </c>
      <c r="D151" s="1"/>
      <c r="E151" s="1"/>
      <c r="F151" s="104">
        <f t="shared" si="11"/>
        <v>6809.3300000000218</v>
      </c>
      <c r="G151" s="1">
        <f t="shared" si="8"/>
        <v>840.16</v>
      </c>
      <c r="H151">
        <f t="shared" si="9"/>
        <v>25.53</v>
      </c>
      <c r="I151">
        <v>51.3</v>
      </c>
      <c r="J151">
        <f t="shared" si="10"/>
        <v>916.99</v>
      </c>
    </row>
    <row r="152" spans="2:10" x14ac:dyDescent="0.2">
      <c r="B152" s="15" t="s">
        <v>39</v>
      </c>
      <c r="C152" s="89">
        <v>2035</v>
      </c>
      <c r="D152" s="1"/>
      <c r="E152" s="1"/>
      <c r="F152" s="104">
        <f t="shared" si="11"/>
        <v>5969.1700000000219</v>
      </c>
      <c r="G152" s="1">
        <f t="shared" si="8"/>
        <v>843.31</v>
      </c>
      <c r="H152">
        <f t="shared" si="9"/>
        <v>22.38</v>
      </c>
      <c r="I152">
        <v>51.3</v>
      </c>
      <c r="J152">
        <f t="shared" si="10"/>
        <v>916.99</v>
      </c>
    </row>
    <row r="153" spans="2:10" x14ac:dyDescent="0.2">
      <c r="B153" s="15" t="s">
        <v>40</v>
      </c>
      <c r="C153" s="89">
        <v>2035</v>
      </c>
      <c r="D153" s="1"/>
      <c r="E153" s="1"/>
      <c r="F153" s="104">
        <f t="shared" si="11"/>
        <v>5125.8600000000224</v>
      </c>
      <c r="G153" s="1">
        <f t="shared" si="8"/>
        <v>846.47</v>
      </c>
      <c r="H153">
        <f t="shared" si="9"/>
        <v>19.22</v>
      </c>
      <c r="I153">
        <v>51.3</v>
      </c>
      <c r="J153">
        <f t="shared" si="10"/>
        <v>916.99</v>
      </c>
    </row>
    <row r="154" spans="2:10" x14ac:dyDescent="0.2">
      <c r="B154" s="15" t="s">
        <v>41</v>
      </c>
      <c r="C154" s="89">
        <v>2035</v>
      </c>
      <c r="D154" s="1"/>
      <c r="E154" s="1"/>
      <c r="F154" s="104">
        <f t="shared" si="11"/>
        <v>4279.3900000000222</v>
      </c>
      <c r="G154" s="1">
        <f t="shared" si="8"/>
        <v>849.64</v>
      </c>
      <c r="H154">
        <f t="shared" si="9"/>
        <v>16.05</v>
      </c>
      <c r="I154">
        <v>51.3</v>
      </c>
      <c r="J154">
        <f t="shared" si="10"/>
        <v>916.99</v>
      </c>
    </row>
    <row r="155" spans="2:10" x14ac:dyDescent="0.2">
      <c r="B155" s="15" t="s">
        <v>30</v>
      </c>
      <c r="C155" s="89">
        <v>2035</v>
      </c>
      <c r="D155" s="1"/>
      <c r="E155" s="1"/>
      <c r="F155" s="104">
        <f t="shared" si="11"/>
        <v>3429.7500000000223</v>
      </c>
      <c r="G155" s="1">
        <f t="shared" ref="G155:G158" si="14">ROUND(865.685421504164 - H155, 2)</f>
        <v>852.83</v>
      </c>
      <c r="H155">
        <f t="shared" ref="H155:H158" si="15">ROUND(F155 * 0.00375, 2)</f>
        <v>12.86</v>
      </c>
      <c r="I155">
        <v>51.3</v>
      </c>
      <c r="J155">
        <f t="shared" ref="J155:J158" si="16">ROUND(865.685421504164 + I155, 2)</f>
        <v>916.99</v>
      </c>
    </row>
    <row r="156" spans="2:10" x14ac:dyDescent="0.2">
      <c r="B156" s="15" t="s">
        <v>31</v>
      </c>
      <c r="C156" s="89">
        <v>2035</v>
      </c>
      <c r="D156" s="1"/>
      <c r="E156" s="1"/>
      <c r="F156" s="104">
        <f t="shared" ref="F156:F158" si="17">F155 - G155</f>
        <v>2576.9200000000224</v>
      </c>
      <c r="G156" s="1">
        <f t="shared" si="14"/>
        <v>856.03</v>
      </c>
      <c r="H156">
        <f t="shared" si="15"/>
        <v>9.66</v>
      </c>
      <c r="I156">
        <v>51.3</v>
      </c>
      <c r="J156">
        <f t="shared" si="16"/>
        <v>916.99</v>
      </c>
    </row>
    <row r="157" spans="2:10" x14ac:dyDescent="0.2">
      <c r="B157" s="15" t="s">
        <v>32</v>
      </c>
      <c r="C157" s="15">
        <v>2036</v>
      </c>
      <c r="D157" s="1"/>
      <c r="E157" s="1"/>
      <c r="F157" s="104">
        <f t="shared" si="17"/>
        <v>1720.8900000000224</v>
      </c>
      <c r="G157" s="1">
        <f t="shared" si="14"/>
        <v>859.24</v>
      </c>
      <c r="H157">
        <f t="shared" si="15"/>
        <v>6.45</v>
      </c>
      <c r="I157">
        <v>51.3</v>
      </c>
      <c r="J157">
        <f t="shared" si="16"/>
        <v>916.99</v>
      </c>
    </row>
    <row r="158" spans="2:10" x14ac:dyDescent="0.2">
      <c r="B158" s="15" t="s">
        <v>33</v>
      </c>
      <c r="C158" s="15">
        <v>2036</v>
      </c>
      <c r="D158" s="1"/>
      <c r="E158" s="1"/>
      <c r="F158" s="104">
        <f t="shared" si="17"/>
        <v>861.65000000002237</v>
      </c>
      <c r="G158" s="1">
        <f t="shared" si="14"/>
        <v>862.46</v>
      </c>
      <c r="H158">
        <f t="shared" si="15"/>
        <v>3.23</v>
      </c>
      <c r="I158">
        <v>51.3</v>
      </c>
      <c r="J158">
        <f t="shared" si="16"/>
        <v>916.99</v>
      </c>
    </row>
    <row r="159" spans="2:10" x14ac:dyDescent="0.2">
      <c r="B159" s="15" t="s">
        <v>34</v>
      </c>
      <c r="C159" s="15">
        <v>2036</v>
      </c>
      <c r="D159" s="1"/>
      <c r="E159" s="1"/>
      <c r="F159" s="105"/>
      <c r="G159" s="94"/>
    </row>
    <row r="160" spans="2:10" x14ac:dyDescent="0.2">
      <c r="B160" s="15" t="s">
        <v>35</v>
      </c>
      <c r="C160" s="15">
        <v>2036</v>
      </c>
      <c r="D160" s="1"/>
      <c r="E160" s="1"/>
      <c r="F160" s="105"/>
      <c r="G160" s="94"/>
    </row>
    <row r="161" spans="2:7" x14ac:dyDescent="0.2">
      <c r="B161" s="15" t="s">
        <v>36</v>
      </c>
      <c r="C161" s="15">
        <v>2036</v>
      </c>
      <c r="D161" s="1"/>
      <c r="E161" s="1"/>
      <c r="F161" s="105"/>
      <c r="G161" s="94"/>
    </row>
    <row r="162" spans="2:7" x14ac:dyDescent="0.2">
      <c r="B162" s="15" t="s">
        <v>37</v>
      </c>
      <c r="C162" s="15">
        <v>2036</v>
      </c>
      <c r="D162" s="1"/>
      <c r="E162" s="1"/>
      <c r="F162" s="105"/>
      <c r="G162" s="94"/>
    </row>
  </sheetData>
  <mergeCells count="1">
    <mergeCell ref="B2:E2"/>
  </mergeCells>
  <phoneticPr fontId="13" type="noConversion"/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75D1C-8500-E54A-8874-2FE913D3D2B4}">
  <sheetPr>
    <tabColor theme="8" tint="-0.249977111117893"/>
  </sheetPr>
  <dimension ref="B1:E148"/>
  <sheetViews>
    <sheetView topLeftCell="C1" workbookViewId="0">
      <selection activeCell="C14" sqref="C14"/>
    </sheetView>
  </sheetViews>
  <sheetFormatPr baseColWidth="10" defaultRowHeight="16" x14ac:dyDescent="0.2"/>
  <cols>
    <col min="1" max="1" width="1.1640625" customWidth="1"/>
    <col min="2" max="2" width="71.33203125" style="31" customWidth="1"/>
    <col min="3" max="3" width="70.6640625" style="31" customWidth="1"/>
    <col min="4" max="4" width="55.83203125" customWidth="1"/>
  </cols>
  <sheetData>
    <row r="1" spans="2:5" ht="3" customHeight="1" x14ac:dyDescent="0.2"/>
    <row r="2" spans="2:5" ht="60" x14ac:dyDescent="0.2">
      <c r="B2" s="151" t="s">
        <v>58</v>
      </c>
      <c r="C2" s="151"/>
      <c r="D2" s="151"/>
      <c r="E2" s="151"/>
    </row>
    <row r="3" spans="2:5" ht="2.25" customHeight="1" x14ac:dyDescent="0.2"/>
    <row r="4" spans="2:5" ht="50" customHeight="1" x14ac:dyDescent="0.2">
      <c r="B4" s="33" t="s">
        <v>28</v>
      </c>
      <c r="C4" s="33" t="s">
        <v>29</v>
      </c>
      <c r="D4" s="91" t="s">
        <v>55</v>
      </c>
      <c r="E4" s="93" t="s">
        <v>53</v>
      </c>
    </row>
    <row r="5" spans="2:5" x14ac:dyDescent="0.2">
      <c r="B5" s="15" t="s">
        <v>36</v>
      </c>
      <c r="C5" s="89">
        <v>2023</v>
      </c>
      <c r="D5" s="92">
        <f>'Vision patrimoine'!$E$34</f>
        <v>95000</v>
      </c>
      <c r="E5" s="1">
        <v>498.76</v>
      </c>
    </row>
    <row r="6" spans="2:5" x14ac:dyDescent="0.2">
      <c r="B6" s="15" t="s">
        <v>37</v>
      </c>
      <c r="C6" s="89">
        <v>2023</v>
      </c>
      <c r="D6" s="92">
        <f>D5-$E6</f>
        <v>94498.774999999994</v>
      </c>
      <c r="E6" s="94">
        <f>E5+2.465</f>
        <v>501.22499999999997</v>
      </c>
    </row>
    <row r="7" spans="2:5" x14ac:dyDescent="0.2">
      <c r="B7" s="15" t="s">
        <v>38</v>
      </c>
      <c r="C7" s="89">
        <v>2023</v>
      </c>
      <c r="D7" s="92">
        <f t="shared" ref="D7:D70" si="0">D6-$E7</f>
        <v>93995.084999999992</v>
      </c>
      <c r="E7" s="94">
        <f t="shared" ref="E7:E70" si="1">E6+2.465</f>
        <v>503.68999999999994</v>
      </c>
    </row>
    <row r="8" spans="2:5" x14ac:dyDescent="0.2">
      <c r="B8" s="15" t="s">
        <v>39</v>
      </c>
      <c r="C8" s="89">
        <v>2023</v>
      </c>
      <c r="D8" s="92">
        <f t="shared" si="0"/>
        <v>93488.93</v>
      </c>
      <c r="E8" s="94">
        <f t="shared" si="1"/>
        <v>506.15499999999992</v>
      </c>
    </row>
    <row r="9" spans="2:5" x14ac:dyDescent="0.2">
      <c r="B9" s="15" t="s">
        <v>40</v>
      </c>
      <c r="C9" s="89">
        <v>2023</v>
      </c>
      <c r="D9" s="92">
        <f t="shared" si="0"/>
        <v>92980.31</v>
      </c>
      <c r="E9" s="94">
        <f t="shared" si="1"/>
        <v>508.61999999999989</v>
      </c>
    </row>
    <row r="10" spans="2:5" x14ac:dyDescent="0.2">
      <c r="B10" s="15" t="s">
        <v>41</v>
      </c>
      <c r="C10" s="89">
        <v>2023</v>
      </c>
      <c r="D10" s="92">
        <f t="shared" si="0"/>
        <v>92469.224999999991</v>
      </c>
      <c r="E10" s="94">
        <f t="shared" si="1"/>
        <v>511.08499999999987</v>
      </c>
    </row>
    <row r="11" spans="2:5" x14ac:dyDescent="0.2">
      <c r="B11" s="15" t="s">
        <v>30</v>
      </c>
      <c r="C11" s="89">
        <v>2023</v>
      </c>
      <c r="D11" s="92">
        <f t="shared" si="0"/>
        <v>91955.674999999988</v>
      </c>
      <c r="E11" s="94">
        <f t="shared" si="1"/>
        <v>513.54999999999984</v>
      </c>
    </row>
    <row r="12" spans="2:5" x14ac:dyDescent="0.2">
      <c r="B12" s="15" t="s">
        <v>31</v>
      </c>
      <c r="C12" s="89">
        <v>2023</v>
      </c>
      <c r="D12" s="92">
        <f t="shared" si="0"/>
        <v>91439.659999999989</v>
      </c>
      <c r="E12" s="94">
        <f t="shared" si="1"/>
        <v>516.01499999999987</v>
      </c>
    </row>
    <row r="13" spans="2:5" x14ac:dyDescent="0.2">
      <c r="B13" s="15" t="s">
        <v>32</v>
      </c>
      <c r="C13" s="89">
        <v>2024</v>
      </c>
      <c r="D13" s="92">
        <f t="shared" si="0"/>
        <v>90921.18</v>
      </c>
      <c r="E13" s="94">
        <f t="shared" si="1"/>
        <v>518.4799999999999</v>
      </c>
    </row>
    <row r="14" spans="2:5" x14ac:dyDescent="0.2">
      <c r="B14" s="15" t="s">
        <v>33</v>
      </c>
      <c r="C14" s="89">
        <v>2024</v>
      </c>
      <c r="D14" s="92">
        <f t="shared" si="0"/>
        <v>90400.234999999986</v>
      </c>
      <c r="E14" s="94">
        <f t="shared" si="1"/>
        <v>520.94499999999994</v>
      </c>
    </row>
    <row r="15" spans="2:5" x14ac:dyDescent="0.2">
      <c r="B15" s="15" t="s">
        <v>34</v>
      </c>
      <c r="C15" s="89">
        <v>2024</v>
      </c>
      <c r="D15" s="92">
        <f t="shared" si="0"/>
        <v>89876.824999999983</v>
      </c>
      <c r="E15" s="94">
        <f t="shared" si="1"/>
        <v>523.41</v>
      </c>
    </row>
    <row r="16" spans="2:5" x14ac:dyDescent="0.2">
      <c r="B16" s="15" t="s">
        <v>35</v>
      </c>
      <c r="C16" s="89">
        <v>2024</v>
      </c>
      <c r="D16" s="92">
        <f t="shared" si="0"/>
        <v>89350.949999999983</v>
      </c>
      <c r="E16" s="94">
        <f t="shared" si="1"/>
        <v>525.875</v>
      </c>
    </row>
    <row r="17" spans="2:5" x14ac:dyDescent="0.2">
      <c r="B17" s="15" t="s">
        <v>36</v>
      </c>
      <c r="C17" s="89">
        <v>2024</v>
      </c>
      <c r="D17" s="92">
        <f t="shared" si="0"/>
        <v>88822.609999999986</v>
      </c>
      <c r="E17" s="94">
        <f t="shared" si="1"/>
        <v>528.34</v>
      </c>
    </row>
    <row r="18" spans="2:5" x14ac:dyDescent="0.2">
      <c r="B18" s="15" t="s">
        <v>37</v>
      </c>
      <c r="C18" s="89">
        <v>2024</v>
      </c>
      <c r="D18" s="92">
        <f t="shared" si="0"/>
        <v>88291.804999999993</v>
      </c>
      <c r="E18" s="94">
        <f t="shared" si="1"/>
        <v>530.80500000000006</v>
      </c>
    </row>
    <row r="19" spans="2:5" x14ac:dyDescent="0.2">
      <c r="B19" s="15" t="s">
        <v>38</v>
      </c>
      <c r="C19" s="89">
        <v>2024</v>
      </c>
      <c r="D19" s="92">
        <f t="shared" si="0"/>
        <v>87758.534999999989</v>
      </c>
      <c r="E19" s="94">
        <f t="shared" si="1"/>
        <v>533.2700000000001</v>
      </c>
    </row>
    <row r="20" spans="2:5" x14ac:dyDescent="0.2">
      <c r="B20" s="15" t="s">
        <v>39</v>
      </c>
      <c r="C20" s="89">
        <v>2024</v>
      </c>
      <c r="D20" s="92">
        <f t="shared" si="0"/>
        <v>87222.799999999988</v>
      </c>
      <c r="E20" s="94">
        <f t="shared" si="1"/>
        <v>535.73500000000013</v>
      </c>
    </row>
    <row r="21" spans="2:5" x14ac:dyDescent="0.2">
      <c r="B21" s="15" t="s">
        <v>40</v>
      </c>
      <c r="C21" s="89">
        <v>2024</v>
      </c>
      <c r="D21" s="92">
        <f t="shared" si="0"/>
        <v>86684.599999999991</v>
      </c>
      <c r="E21" s="94">
        <f t="shared" si="1"/>
        <v>538.20000000000016</v>
      </c>
    </row>
    <row r="22" spans="2:5" x14ac:dyDescent="0.2">
      <c r="B22" s="15" t="s">
        <v>41</v>
      </c>
      <c r="C22" s="89">
        <v>2024</v>
      </c>
      <c r="D22" s="92">
        <f t="shared" si="0"/>
        <v>86143.934999999998</v>
      </c>
      <c r="E22" s="94">
        <f t="shared" si="1"/>
        <v>540.66500000000019</v>
      </c>
    </row>
    <row r="23" spans="2:5" x14ac:dyDescent="0.2">
      <c r="B23" s="15" t="s">
        <v>30</v>
      </c>
      <c r="C23" s="89">
        <v>2024</v>
      </c>
      <c r="D23" s="92">
        <f t="shared" si="0"/>
        <v>85600.804999999993</v>
      </c>
      <c r="E23" s="94">
        <f t="shared" si="1"/>
        <v>543.13000000000022</v>
      </c>
    </row>
    <row r="24" spans="2:5" x14ac:dyDescent="0.2">
      <c r="B24" s="15" t="s">
        <v>31</v>
      </c>
      <c r="C24" s="89">
        <v>2024</v>
      </c>
      <c r="D24" s="92">
        <f t="shared" si="0"/>
        <v>85055.209999999992</v>
      </c>
      <c r="E24" s="94">
        <f t="shared" si="1"/>
        <v>545.59500000000025</v>
      </c>
    </row>
    <row r="25" spans="2:5" x14ac:dyDescent="0.2">
      <c r="B25" s="15" t="s">
        <v>32</v>
      </c>
      <c r="C25" s="89">
        <v>2025</v>
      </c>
      <c r="D25" s="92">
        <f t="shared" si="0"/>
        <v>84507.15</v>
      </c>
      <c r="E25" s="94">
        <f t="shared" si="1"/>
        <v>548.06000000000029</v>
      </c>
    </row>
    <row r="26" spans="2:5" x14ac:dyDescent="0.2">
      <c r="B26" s="15" t="s">
        <v>33</v>
      </c>
      <c r="C26" s="89">
        <v>2025</v>
      </c>
      <c r="D26" s="92">
        <f t="shared" si="0"/>
        <v>83956.625</v>
      </c>
      <c r="E26" s="94">
        <f t="shared" si="1"/>
        <v>550.52500000000032</v>
      </c>
    </row>
    <row r="27" spans="2:5" x14ac:dyDescent="0.2">
      <c r="B27" s="15" t="s">
        <v>34</v>
      </c>
      <c r="C27" s="89">
        <v>2025</v>
      </c>
      <c r="D27" s="92">
        <f t="shared" si="0"/>
        <v>83403.634999999995</v>
      </c>
      <c r="E27" s="94">
        <f t="shared" si="1"/>
        <v>552.99000000000035</v>
      </c>
    </row>
    <row r="28" spans="2:5" x14ac:dyDescent="0.2">
      <c r="B28" s="15" t="s">
        <v>35</v>
      </c>
      <c r="C28" s="89">
        <v>2025</v>
      </c>
      <c r="D28" s="92">
        <f t="shared" si="0"/>
        <v>82848.179999999993</v>
      </c>
      <c r="E28" s="94">
        <f t="shared" si="1"/>
        <v>555.45500000000038</v>
      </c>
    </row>
    <row r="29" spans="2:5" x14ac:dyDescent="0.2">
      <c r="B29" s="15" t="s">
        <v>36</v>
      </c>
      <c r="C29" s="89">
        <v>2025</v>
      </c>
      <c r="D29" s="92">
        <f t="shared" si="0"/>
        <v>82290.259999999995</v>
      </c>
      <c r="E29" s="94">
        <f t="shared" si="1"/>
        <v>557.92000000000041</v>
      </c>
    </row>
    <row r="30" spans="2:5" x14ac:dyDescent="0.2">
      <c r="B30" s="15" t="s">
        <v>37</v>
      </c>
      <c r="C30" s="89">
        <v>2025</v>
      </c>
      <c r="D30" s="92">
        <f t="shared" si="0"/>
        <v>81729.875</v>
      </c>
      <c r="E30" s="94">
        <f t="shared" si="1"/>
        <v>560.38500000000045</v>
      </c>
    </row>
    <row r="31" spans="2:5" x14ac:dyDescent="0.2">
      <c r="B31" s="15" t="s">
        <v>38</v>
      </c>
      <c r="C31" s="89">
        <v>2025</v>
      </c>
      <c r="D31" s="92">
        <f t="shared" si="0"/>
        <v>81167.024999999994</v>
      </c>
      <c r="E31" s="94">
        <f t="shared" si="1"/>
        <v>562.85000000000048</v>
      </c>
    </row>
    <row r="32" spans="2:5" x14ac:dyDescent="0.2">
      <c r="B32" s="15" t="s">
        <v>39</v>
      </c>
      <c r="C32" s="89">
        <v>2025</v>
      </c>
      <c r="D32" s="92">
        <f t="shared" si="0"/>
        <v>80601.709999999992</v>
      </c>
      <c r="E32" s="94">
        <f t="shared" si="1"/>
        <v>565.31500000000051</v>
      </c>
    </row>
    <row r="33" spans="2:5" x14ac:dyDescent="0.2">
      <c r="B33" s="15" t="s">
        <v>40</v>
      </c>
      <c r="C33" s="89">
        <v>2025</v>
      </c>
      <c r="D33" s="92">
        <f t="shared" si="0"/>
        <v>80033.929999999993</v>
      </c>
      <c r="E33" s="94">
        <f t="shared" si="1"/>
        <v>567.78000000000054</v>
      </c>
    </row>
    <row r="34" spans="2:5" x14ac:dyDescent="0.2">
      <c r="B34" s="15" t="s">
        <v>41</v>
      </c>
      <c r="C34" s="89">
        <v>2025</v>
      </c>
      <c r="D34" s="92">
        <f t="shared" si="0"/>
        <v>79463.684999999998</v>
      </c>
      <c r="E34" s="94">
        <f t="shared" si="1"/>
        <v>570.24500000000057</v>
      </c>
    </row>
    <row r="35" spans="2:5" x14ac:dyDescent="0.2">
      <c r="B35" s="15" t="s">
        <v>30</v>
      </c>
      <c r="C35" s="89">
        <v>2025</v>
      </c>
      <c r="D35" s="92">
        <f t="shared" si="0"/>
        <v>78890.974999999991</v>
      </c>
      <c r="E35" s="94">
        <f t="shared" si="1"/>
        <v>572.7100000000006</v>
      </c>
    </row>
    <row r="36" spans="2:5" x14ac:dyDescent="0.2">
      <c r="B36" s="15" t="s">
        <v>31</v>
      </c>
      <c r="C36" s="89">
        <v>2025</v>
      </c>
      <c r="D36" s="92">
        <f t="shared" si="0"/>
        <v>78315.799999999988</v>
      </c>
      <c r="E36" s="94">
        <f t="shared" si="1"/>
        <v>575.17500000000064</v>
      </c>
    </row>
    <row r="37" spans="2:5" x14ac:dyDescent="0.2">
      <c r="B37" s="15" t="s">
        <v>32</v>
      </c>
      <c r="C37" s="89">
        <v>2026</v>
      </c>
      <c r="D37" s="92">
        <f t="shared" si="0"/>
        <v>77738.159999999989</v>
      </c>
      <c r="E37" s="94">
        <f t="shared" si="1"/>
        <v>577.64000000000067</v>
      </c>
    </row>
    <row r="38" spans="2:5" x14ac:dyDescent="0.2">
      <c r="B38" s="15" t="s">
        <v>33</v>
      </c>
      <c r="C38" s="89">
        <v>2026</v>
      </c>
      <c r="D38" s="92">
        <f t="shared" si="0"/>
        <v>77158.054999999993</v>
      </c>
      <c r="E38" s="94">
        <f t="shared" si="1"/>
        <v>580.1050000000007</v>
      </c>
    </row>
    <row r="39" spans="2:5" x14ac:dyDescent="0.2">
      <c r="B39" s="15" t="s">
        <v>34</v>
      </c>
      <c r="C39" s="89">
        <v>2026</v>
      </c>
      <c r="D39" s="92">
        <f t="shared" si="0"/>
        <v>76575.484999999986</v>
      </c>
      <c r="E39" s="94">
        <f t="shared" si="1"/>
        <v>582.57000000000073</v>
      </c>
    </row>
    <row r="40" spans="2:5" x14ac:dyDescent="0.2">
      <c r="B40" s="15" t="s">
        <v>35</v>
      </c>
      <c r="C40" s="89">
        <v>2026</v>
      </c>
      <c r="D40" s="92">
        <f t="shared" si="0"/>
        <v>75990.449999999983</v>
      </c>
      <c r="E40" s="94">
        <f t="shared" si="1"/>
        <v>585.03500000000076</v>
      </c>
    </row>
    <row r="41" spans="2:5" x14ac:dyDescent="0.2">
      <c r="B41" s="15" t="s">
        <v>36</v>
      </c>
      <c r="C41" s="89">
        <v>2026</v>
      </c>
      <c r="D41" s="92">
        <f t="shared" si="0"/>
        <v>75402.949999999983</v>
      </c>
      <c r="E41" s="94">
        <f t="shared" si="1"/>
        <v>587.5000000000008</v>
      </c>
    </row>
    <row r="42" spans="2:5" x14ac:dyDescent="0.2">
      <c r="B42" s="15" t="s">
        <v>37</v>
      </c>
      <c r="C42" s="89">
        <v>2026</v>
      </c>
      <c r="D42" s="92">
        <f t="shared" si="0"/>
        <v>74812.984999999986</v>
      </c>
      <c r="E42" s="94">
        <f t="shared" si="1"/>
        <v>589.96500000000083</v>
      </c>
    </row>
    <row r="43" spans="2:5" x14ac:dyDescent="0.2">
      <c r="B43" s="15" t="s">
        <v>38</v>
      </c>
      <c r="C43" s="89">
        <v>2026</v>
      </c>
      <c r="D43" s="92">
        <f t="shared" si="0"/>
        <v>74220.554999999978</v>
      </c>
      <c r="E43" s="94">
        <f t="shared" si="1"/>
        <v>592.43000000000086</v>
      </c>
    </row>
    <row r="44" spans="2:5" x14ac:dyDescent="0.2">
      <c r="B44" s="15" t="s">
        <v>39</v>
      </c>
      <c r="C44" s="89">
        <v>2026</v>
      </c>
      <c r="D44" s="92">
        <f t="shared" si="0"/>
        <v>73625.659999999974</v>
      </c>
      <c r="E44" s="94">
        <f t="shared" si="1"/>
        <v>594.89500000000089</v>
      </c>
    </row>
    <row r="45" spans="2:5" x14ac:dyDescent="0.2">
      <c r="B45" s="15" t="s">
        <v>40</v>
      </c>
      <c r="C45" s="89">
        <v>2026</v>
      </c>
      <c r="D45" s="92">
        <f t="shared" si="0"/>
        <v>73028.299999999974</v>
      </c>
      <c r="E45" s="94">
        <f t="shared" si="1"/>
        <v>597.36000000000092</v>
      </c>
    </row>
    <row r="46" spans="2:5" x14ac:dyDescent="0.2">
      <c r="B46" s="15" t="s">
        <v>41</v>
      </c>
      <c r="C46" s="89">
        <v>2026</v>
      </c>
      <c r="D46" s="92">
        <f t="shared" si="0"/>
        <v>72428.474999999977</v>
      </c>
      <c r="E46" s="94">
        <f t="shared" si="1"/>
        <v>599.82500000000095</v>
      </c>
    </row>
    <row r="47" spans="2:5" x14ac:dyDescent="0.2">
      <c r="B47" s="15" t="s">
        <v>30</v>
      </c>
      <c r="C47" s="89">
        <v>2026</v>
      </c>
      <c r="D47" s="92">
        <f t="shared" si="0"/>
        <v>71826.184999999969</v>
      </c>
      <c r="E47" s="94">
        <f t="shared" si="1"/>
        <v>602.29000000000099</v>
      </c>
    </row>
    <row r="48" spans="2:5" x14ac:dyDescent="0.2">
      <c r="B48" s="15" t="s">
        <v>31</v>
      </c>
      <c r="C48" s="89">
        <v>2026</v>
      </c>
      <c r="D48" s="92">
        <f t="shared" si="0"/>
        <v>71221.429999999964</v>
      </c>
      <c r="E48" s="94">
        <f t="shared" si="1"/>
        <v>604.75500000000102</v>
      </c>
    </row>
    <row r="49" spans="2:5" x14ac:dyDescent="0.2">
      <c r="B49" s="15" t="s">
        <v>32</v>
      </c>
      <c r="C49" s="89">
        <v>2027</v>
      </c>
      <c r="D49" s="92">
        <f t="shared" si="0"/>
        <v>70614.209999999963</v>
      </c>
      <c r="E49" s="94">
        <f t="shared" si="1"/>
        <v>607.22000000000105</v>
      </c>
    </row>
    <row r="50" spans="2:5" x14ac:dyDescent="0.2">
      <c r="B50" s="15" t="s">
        <v>33</v>
      </c>
      <c r="C50" s="89">
        <v>2027</v>
      </c>
      <c r="D50" s="92">
        <f t="shared" si="0"/>
        <v>70004.524999999965</v>
      </c>
      <c r="E50" s="94">
        <f t="shared" si="1"/>
        <v>609.68500000000108</v>
      </c>
    </row>
    <row r="51" spans="2:5" x14ac:dyDescent="0.2">
      <c r="B51" s="15" t="s">
        <v>34</v>
      </c>
      <c r="C51" s="89">
        <v>2027</v>
      </c>
      <c r="D51" s="92">
        <f t="shared" si="0"/>
        <v>69392.374999999971</v>
      </c>
      <c r="E51" s="94">
        <f t="shared" si="1"/>
        <v>612.15000000000111</v>
      </c>
    </row>
    <row r="52" spans="2:5" x14ac:dyDescent="0.2">
      <c r="B52" s="15" t="s">
        <v>35</v>
      </c>
      <c r="C52" s="89">
        <v>2027</v>
      </c>
      <c r="D52" s="92">
        <f t="shared" si="0"/>
        <v>68777.759999999966</v>
      </c>
      <c r="E52" s="94">
        <f t="shared" si="1"/>
        <v>614.61500000000115</v>
      </c>
    </row>
    <row r="53" spans="2:5" x14ac:dyDescent="0.2">
      <c r="B53" s="15" t="s">
        <v>36</v>
      </c>
      <c r="C53" s="89">
        <v>2027</v>
      </c>
      <c r="D53" s="92">
        <f t="shared" si="0"/>
        <v>68160.679999999964</v>
      </c>
      <c r="E53" s="94">
        <f t="shared" si="1"/>
        <v>617.08000000000118</v>
      </c>
    </row>
    <row r="54" spans="2:5" x14ac:dyDescent="0.2">
      <c r="B54" s="15" t="s">
        <v>37</v>
      </c>
      <c r="C54" s="89">
        <v>2027</v>
      </c>
      <c r="D54" s="92">
        <f t="shared" si="0"/>
        <v>67541.134999999966</v>
      </c>
      <c r="E54" s="94">
        <f t="shared" si="1"/>
        <v>619.54500000000121</v>
      </c>
    </row>
    <row r="55" spans="2:5" x14ac:dyDescent="0.2">
      <c r="B55" s="15" t="s">
        <v>38</v>
      </c>
      <c r="C55" s="89">
        <v>2027</v>
      </c>
      <c r="D55" s="92">
        <f t="shared" si="0"/>
        <v>66919.124999999971</v>
      </c>
      <c r="E55" s="94">
        <f t="shared" si="1"/>
        <v>622.01000000000124</v>
      </c>
    </row>
    <row r="56" spans="2:5" x14ac:dyDescent="0.2">
      <c r="B56" s="15" t="s">
        <v>39</v>
      </c>
      <c r="C56" s="89">
        <v>2027</v>
      </c>
      <c r="D56" s="92">
        <f t="shared" si="0"/>
        <v>66294.649999999965</v>
      </c>
      <c r="E56" s="94">
        <f t="shared" si="1"/>
        <v>624.47500000000127</v>
      </c>
    </row>
    <row r="57" spans="2:5" x14ac:dyDescent="0.2">
      <c r="B57" s="15" t="s">
        <v>40</v>
      </c>
      <c r="C57" s="89">
        <v>2027</v>
      </c>
      <c r="D57" s="92">
        <f t="shared" si="0"/>
        <v>65667.709999999963</v>
      </c>
      <c r="E57" s="94">
        <f t="shared" si="1"/>
        <v>626.94000000000131</v>
      </c>
    </row>
    <row r="58" spans="2:5" x14ac:dyDescent="0.2">
      <c r="B58" s="15" t="s">
        <v>41</v>
      </c>
      <c r="C58" s="89">
        <v>2027</v>
      </c>
      <c r="D58" s="92">
        <f t="shared" si="0"/>
        <v>65038.304999999964</v>
      </c>
      <c r="E58" s="94">
        <f t="shared" si="1"/>
        <v>629.40500000000134</v>
      </c>
    </row>
    <row r="59" spans="2:5" x14ac:dyDescent="0.2">
      <c r="B59" s="15" t="s">
        <v>30</v>
      </c>
      <c r="C59" s="89">
        <v>2027</v>
      </c>
      <c r="D59" s="92">
        <f t="shared" si="0"/>
        <v>64406.434999999961</v>
      </c>
      <c r="E59" s="94">
        <f t="shared" si="1"/>
        <v>631.87000000000137</v>
      </c>
    </row>
    <row r="60" spans="2:5" x14ac:dyDescent="0.2">
      <c r="B60" s="15" t="s">
        <v>31</v>
      </c>
      <c r="C60" s="89">
        <v>2027</v>
      </c>
      <c r="D60" s="92">
        <f t="shared" si="0"/>
        <v>63772.099999999962</v>
      </c>
      <c r="E60" s="94">
        <f t="shared" si="1"/>
        <v>634.3350000000014</v>
      </c>
    </row>
    <row r="61" spans="2:5" x14ac:dyDescent="0.2">
      <c r="B61" s="15" t="s">
        <v>32</v>
      </c>
      <c r="C61" s="89">
        <v>2028</v>
      </c>
      <c r="D61" s="92">
        <f t="shared" si="0"/>
        <v>63135.299999999959</v>
      </c>
      <c r="E61" s="94">
        <f t="shared" si="1"/>
        <v>636.80000000000143</v>
      </c>
    </row>
    <row r="62" spans="2:5" x14ac:dyDescent="0.2">
      <c r="B62" s="15" t="s">
        <v>33</v>
      </c>
      <c r="C62" s="89">
        <v>2028</v>
      </c>
      <c r="D62" s="92">
        <f t="shared" si="0"/>
        <v>62496.03499999996</v>
      </c>
      <c r="E62" s="94">
        <f t="shared" si="1"/>
        <v>639.26500000000146</v>
      </c>
    </row>
    <row r="63" spans="2:5" x14ac:dyDescent="0.2">
      <c r="B63" s="15" t="s">
        <v>34</v>
      </c>
      <c r="C63" s="89">
        <v>2028</v>
      </c>
      <c r="D63" s="92">
        <f t="shared" si="0"/>
        <v>61854.304999999957</v>
      </c>
      <c r="E63" s="94">
        <f t="shared" si="1"/>
        <v>641.7300000000015</v>
      </c>
    </row>
    <row r="64" spans="2:5" x14ac:dyDescent="0.2">
      <c r="B64" s="15" t="s">
        <v>35</v>
      </c>
      <c r="C64" s="89">
        <v>2028</v>
      </c>
      <c r="D64" s="92">
        <f t="shared" si="0"/>
        <v>61210.109999999957</v>
      </c>
      <c r="E64" s="94">
        <f t="shared" si="1"/>
        <v>644.19500000000153</v>
      </c>
    </row>
    <row r="65" spans="2:5" x14ac:dyDescent="0.2">
      <c r="B65" s="15" t="s">
        <v>36</v>
      </c>
      <c r="C65" s="89">
        <v>2028</v>
      </c>
      <c r="D65" s="92">
        <f t="shared" si="0"/>
        <v>60563.449999999953</v>
      </c>
      <c r="E65" s="94">
        <f t="shared" si="1"/>
        <v>646.66000000000156</v>
      </c>
    </row>
    <row r="66" spans="2:5" x14ac:dyDescent="0.2">
      <c r="B66" s="15" t="s">
        <v>37</v>
      </c>
      <c r="C66" s="89">
        <v>2028</v>
      </c>
      <c r="D66" s="92">
        <f t="shared" si="0"/>
        <v>59914.324999999953</v>
      </c>
      <c r="E66" s="94">
        <f t="shared" si="1"/>
        <v>649.12500000000159</v>
      </c>
    </row>
    <row r="67" spans="2:5" x14ac:dyDescent="0.2">
      <c r="B67" s="15" t="s">
        <v>38</v>
      </c>
      <c r="C67" s="89">
        <v>2028</v>
      </c>
      <c r="D67" s="92">
        <f t="shared" si="0"/>
        <v>59262.73499999995</v>
      </c>
      <c r="E67" s="94">
        <f t="shared" si="1"/>
        <v>651.59000000000162</v>
      </c>
    </row>
    <row r="68" spans="2:5" x14ac:dyDescent="0.2">
      <c r="B68" s="15" t="s">
        <v>39</v>
      </c>
      <c r="C68" s="89">
        <v>2028</v>
      </c>
      <c r="D68" s="92">
        <f t="shared" si="0"/>
        <v>58608.679999999949</v>
      </c>
      <c r="E68" s="94">
        <f t="shared" si="1"/>
        <v>654.05500000000166</v>
      </c>
    </row>
    <row r="69" spans="2:5" x14ac:dyDescent="0.2">
      <c r="B69" s="15" t="s">
        <v>40</v>
      </c>
      <c r="C69" s="89">
        <v>2028</v>
      </c>
      <c r="D69" s="92">
        <f t="shared" si="0"/>
        <v>57952.159999999945</v>
      </c>
      <c r="E69" s="94">
        <f t="shared" si="1"/>
        <v>656.52000000000169</v>
      </c>
    </row>
    <row r="70" spans="2:5" x14ac:dyDescent="0.2">
      <c r="B70" s="15" t="s">
        <v>41</v>
      </c>
      <c r="C70" s="89">
        <v>2028</v>
      </c>
      <c r="D70" s="92">
        <f t="shared" si="0"/>
        <v>57293.174999999945</v>
      </c>
      <c r="E70" s="94">
        <f t="shared" si="1"/>
        <v>658.98500000000172</v>
      </c>
    </row>
    <row r="71" spans="2:5" x14ac:dyDescent="0.2">
      <c r="B71" s="15" t="s">
        <v>30</v>
      </c>
      <c r="C71" s="89">
        <v>2028</v>
      </c>
      <c r="D71" s="92">
        <f t="shared" ref="D71:D134" si="2">D70-$E71</f>
        <v>56631.72499999994</v>
      </c>
      <c r="E71" s="94">
        <f t="shared" ref="E71:E134" si="3">E70+2.465</f>
        <v>661.45000000000175</v>
      </c>
    </row>
    <row r="72" spans="2:5" x14ac:dyDescent="0.2">
      <c r="B72" s="15" t="s">
        <v>31</v>
      </c>
      <c r="C72" s="89">
        <v>2028</v>
      </c>
      <c r="D72" s="92">
        <f t="shared" si="2"/>
        <v>55967.809999999939</v>
      </c>
      <c r="E72" s="94">
        <f t="shared" si="3"/>
        <v>663.91500000000178</v>
      </c>
    </row>
    <row r="73" spans="2:5" x14ac:dyDescent="0.2">
      <c r="B73" s="15" t="s">
        <v>32</v>
      </c>
      <c r="C73" s="89">
        <v>2029</v>
      </c>
      <c r="D73" s="92">
        <f t="shared" si="2"/>
        <v>55301.429999999935</v>
      </c>
      <c r="E73" s="94">
        <f t="shared" si="3"/>
        <v>666.38000000000181</v>
      </c>
    </row>
    <row r="74" spans="2:5" x14ac:dyDescent="0.2">
      <c r="B74" s="15" t="s">
        <v>33</v>
      </c>
      <c r="C74" s="89">
        <v>2029</v>
      </c>
      <c r="D74" s="92">
        <f t="shared" si="2"/>
        <v>54632.584999999934</v>
      </c>
      <c r="E74" s="94">
        <f t="shared" si="3"/>
        <v>668.84500000000185</v>
      </c>
    </row>
    <row r="75" spans="2:5" x14ac:dyDescent="0.2">
      <c r="B75" s="15" t="s">
        <v>34</v>
      </c>
      <c r="C75" s="89">
        <v>2029</v>
      </c>
      <c r="D75" s="92">
        <f t="shared" si="2"/>
        <v>53961.274999999929</v>
      </c>
      <c r="E75" s="94">
        <f t="shared" si="3"/>
        <v>671.31000000000188</v>
      </c>
    </row>
    <row r="76" spans="2:5" x14ac:dyDescent="0.2">
      <c r="B76" s="15" t="s">
        <v>35</v>
      </c>
      <c r="C76" s="89">
        <v>2029</v>
      </c>
      <c r="D76" s="92">
        <f t="shared" si="2"/>
        <v>53287.499999999927</v>
      </c>
      <c r="E76" s="94">
        <f t="shared" si="3"/>
        <v>673.77500000000191</v>
      </c>
    </row>
    <row r="77" spans="2:5" x14ac:dyDescent="0.2">
      <c r="B77" s="15" t="s">
        <v>36</v>
      </c>
      <c r="C77" s="89">
        <v>2029</v>
      </c>
      <c r="D77" s="92">
        <f t="shared" si="2"/>
        <v>52611.259999999922</v>
      </c>
      <c r="E77" s="94">
        <f t="shared" si="3"/>
        <v>676.24000000000194</v>
      </c>
    </row>
    <row r="78" spans="2:5" x14ac:dyDescent="0.2">
      <c r="B78" s="15" t="s">
        <v>37</v>
      </c>
      <c r="C78" s="89">
        <v>2029</v>
      </c>
      <c r="D78" s="92">
        <f t="shared" si="2"/>
        <v>51932.55499999992</v>
      </c>
      <c r="E78" s="94">
        <f t="shared" si="3"/>
        <v>678.70500000000197</v>
      </c>
    </row>
    <row r="79" spans="2:5" x14ac:dyDescent="0.2">
      <c r="B79" s="15" t="s">
        <v>38</v>
      </c>
      <c r="C79" s="89">
        <v>2029</v>
      </c>
      <c r="D79" s="92">
        <f t="shared" si="2"/>
        <v>51251.384999999915</v>
      </c>
      <c r="E79" s="94">
        <f t="shared" si="3"/>
        <v>681.17000000000201</v>
      </c>
    </row>
    <row r="80" spans="2:5" x14ac:dyDescent="0.2">
      <c r="B80" s="15" t="s">
        <v>39</v>
      </c>
      <c r="C80" s="89">
        <v>2029</v>
      </c>
      <c r="D80" s="92">
        <f t="shared" si="2"/>
        <v>50567.749999999913</v>
      </c>
      <c r="E80" s="94">
        <f t="shared" si="3"/>
        <v>683.63500000000204</v>
      </c>
    </row>
    <row r="81" spans="2:5" x14ac:dyDescent="0.2">
      <c r="B81" s="15" t="s">
        <v>40</v>
      </c>
      <c r="C81" s="89">
        <v>2029</v>
      </c>
      <c r="D81" s="92">
        <f t="shared" si="2"/>
        <v>49881.649999999914</v>
      </c>
      <c r="E81" s="94">
        <f t="shared" si="3"/>
        <v>686.10000000000207</v>
      </c>
    </row>
    <row r="82" spans="2:5" x14ac:dyDescent="0.2">
      <c r="B82" s="15" t="s">
        <v>41</v>
      </c>
      <c r="C82" s="89">
        <v>2029</v>
      </c>
      <c r="D82" s="92">
        <f t="shared" si="2"/>
        <v>49193.084999999912</v>
      </c>
      <c r="E82" s="94">
        <f t="shared" si="3"/>
        <v>688.5650000000021</v>
      </c>
    </row>
    <row r="83" spans="2:5" x14ac:dyDescent="0.2">
      <c r="B83" s="15" t="s">
        <v>30</v>
      </c>
      <c r="C83" s="89">
        <v>2029</v>
      </c>
      <c r="D83" s="92">
        <f t="shared" si="2"/>
        <v>48502.054999999913</v>
      </c>
      <c r="E83" s="94">
        <f t="shared" si="3"/>
        <v>691.03000000000213</v>
      </c>
    </row>
    <row r="84" spans="2:5" x14ac:dyDescent="0.2">
      <c r="B84" s="15" t="s">
        <v>31</v>
      </c>
      <c r="C84" s="89">
        <v>2029</v>
      </c>
      <c r="D84" s="92">
        <f t="shared" si="2"/>
        <v>47808.55999999991</v>
      </c>
      <c r="E84" s="94">
        <f t="shared" si="3"/>
        <v>693.49500000000216</v>
      </c>
    </row>
    <row r="85" spans="2:5" x14ac:dyDescent="0.2">
      <c r="B85" s="15" t="s">
        <v>32</v>
      </c>
      <c r="C85" s="89">
        <v>2030</v>
      </c>
      <c r="D85" s="92">
        <f t="shared" si="2"/>
        <v>47112.599999999911</v>
      </c>
      <c r="E85" s="94">
        <f t="shared" si="3"/>
        <v>695.9600000000022</v>
      </c>
    </row>
    <row r="86" spans="2:5" x14ac:dyDescent="0.2">
      <c r="B86" s="15" t="s">
        <v>33</v>
      </c>
      <c r="C86" s="89">
        <v>2030</v>
      </c>
      <c r="D86" s="92">
        <f t="shared" si="2"/>
        <v>46414.174999999908</v>
      </c>
      <c r="E86" s="94">
        <f t="shared" si="3"/>
        <v>698.42500000000223</v>
      </c>
    </row>
    <row r="87" spans="2:5" x14ac:dyDescent="0.2">
      <c r="B87" s="15" t="s">
        <v>34</v>
      </c>
      <c r="C87" s="89">
        <v>2030</v>
      </c>
      <c r="D87" s="92">
        <f t="shared" si="2"/>
        <v>45713.284999999909</v>
      </c>
      <c r="E87" s="94">
        <f t="shared" si="3"/>
        <v>700.89000000000226</v>
      </c>
    </row>
    <row r="88" spans="2:5" x14ac:dyDescent="0.2">
      <c r="B88" s="15" t="s">
        <v>35</v>
      </c>
      <c r="C88" s="89">
        <v>2030</v>
      </c>
      <c r="D88" s="92">
        <f t="shared" si="2"/>
        <v>45009.929999999906</v>
      </c>
      <c r="E88" s="94">
        <f t="shared" si="3"/>
        <v>703.35500000000229</v>
      </c>
    </row>
    <row r="89" spans="2:5" x14ac:dyDescent="0.2">
      <c r="B89" s="15" t="s">
        <v>36</v>
      </c>
      <c r="C89" s="89">
        <v>2030</v>
      </c>
      <c r="D89" s="92">
        <f t="shared" si="2"/>
        <v>44304.109999999906</v>
      </c>
      <c r="E89" s="94">
        <f t="shared" si="3"/>
        <v>705.82000000000232</v>
      </c>
    </row>
    <row r="90" spans="2:5" x14ac:dyDescent="0.2">
      <c r="B90" s="15" t="s">
        <v>37</v>
      </c>
      <c r="C90" s="89">
        <v>2030</v>
      </c>
      <c r="D90" s="92">
        <f t="shared" si="2"/>
        <v>43595.824999999903</v>
      </c>
      <c r="E90" s="94">
        <f t="shared" si="3"/>
        <v>708.28500000000236</v>
      </c>
    </row>
    <row r="91" spans="2:5" x14ac:dyDescent="0.2">
      <c r="B91" s="15" t="s">
        <v>38</v>
      </c>
      <c r="C91" s="89">
        <v>2030</v>
      </c>
      <c r="D91" s="92">
        <f t="shared" si="2"/>
        <v>42885.074999999903</v>
      </c>
      <c r="E91" s="94">
        <f t="shared" si="3"/>
        <v>710.75000000000239</v>
      </c>
    </row>
    <row r="92" spans="2:5" x14ac:dyDescent="0.2">
      <c r="B92" s="15" t="s">
        <v>39</v>
      </c>
      <c r="C92" s="89">
        <v>2030</v>
      </c>
      <c r="D92" s="92">
        <f t="shared" si="2"/>
        <v>42171.859999999899</v>
      </c>
      <c r="E92" s="94">
        <f t="shared" si="3"/>
        <v>713.21500000000242</v>
      </c>
    </row>
    <row r="93" spans="2:5" x14ac:dyDescent="0.2">
      <c r="B93" s="15" t="s">
        <v>40</v>
      </c>
      <c r="C93" s="89">
        <v>2030</v>
      </c>
      <c r="D93" s="92">
        <f t="shared" si="2"/>
        <v>41456.179999999898</v>
      </c>
      <c r="E93" s="94">
        <f t="shared" si="3"/>
        <v>715.68000000000245</v>
      </c>
    </row>
    <row r="94" spans="2:5" x14ac:dyDescent="0.2">
      <c r="B94" s="15" t="s">
        <v>41</v>
      </c>
      <c r="C94" s="89">
        <v>2030</v>
      </c>
      <c r="D94" s="92">
        <f t="shared" si="2"/>
        <v>40738.034999999894</v>
      </c>
      <c r="E94" s="94">
        <f t="shared" si="3"/>
        <v>718.14500000000248</v>
      </c>
    </row>
    <row r="95" spans="2:5" x14ac:dyDescent="0.2">
      <c r="B95" s="15" t="s">
        <v>30</v>
      </c>
      <c r="C95" s="89">
        <v>2030</v>
      </c>
      <c r="D95" s="92">
        <f t="shared" si="2"/>
        <v>40017.424999999894</v>
      </c>
      <c r="E95" s="94">
        <f t="shared" si="3"/>
        <v>720.61000000000251</v>
      </c>
    </row>
    <row r="96" spans="2:5" x14ac:dyDescent="0.2">
      <c r="B96" s="15" t="s">
        <v>31</v>
      </c>
      <c r="C96" s="89">
        <v>2030</v>
      </c>
      <c r="D96" s="92">
        <f t="shared" si="2"/>
        <v>39294.349999999889</v>
      </c>
      <c r="E96" s="94">
        <f t="shared" si="3"/>
        <v>723.07500000000255</v>
      </c>
    </row>
    <row r="97" spans="2:5" x14ac:dyDescent="0.2">
      <c r="B97" s="15" t="s">
        <v>32</v>
      </c>
      <c r="C97" s="89">
        <v>2031</v>
      </c>
      <c r="D97" s="92">
        <f t="shared" si="2"/>
        <v>38568.809999999889</v>
      </c>
      <c r="E97" s="94">
        <f t="shared" si="3"/>
        <v>725.54000000000258</v>
      </c>
    </row>
    <row r="98" spans="2:5" x14ac:dyDescent="0.2">
      <c r="B98" s="15" t="s">
        <v>33</v>
      </c>
      <c r="C98" s="89">
        <v>2031</v>
      </c>
      <c r="D98" s="92">
        <f t="shared" si="2"/>
        <v>37840.804999999884</v>
      </c>
      <c r="E98" s="94">
        <f t="shared" si="3"/>
        <v>728.00500000000261</v>
      </c>
    </row>
    <row r="99" spans="2:5" x14ac:dyDescent="0.2">
      <c r="B99" s="15" t="s">
        <v>34</v>
      </c>
      <c r="C99" s="89">
        <v>2031</v>
      </c>
      <c r="D99" s="92">
        <f t="shared" si="2"/>
        <v>37110.334999999883</v>
      </c>
      <c r="E99" s="94">
        <f t="shared" si="3"/>
        <v>730.47000000000264</v>
      </c>
    </row>
    <row r="100" spans="2:5" x14ac:dyDescent="0.2">
      <c r="B100" s="15" t="s">
        <v>35</v>
      </c>
      <c r="C100" s="89">
        <v>2031</v>
      </c>
      <c r="D100" s="92">
        <f t="shared" si="2"/>
        <v>36377.399999999878</v>
      </c>
      <c r="E100" s="94">
        <f t="shared" si="3"/>
        <v>732.93500000000267</v>
      </c>
    </row>
    <row r="101" spans="2:5" x14ac:dyDescent="0.2">
      <c r="B101" s="15" t="s">
        <v>36</v>
      </c>
      <c r="C101" s="89">
        <v>2031</v>
      </c>
      <c r="D101" s="92">
        <f t="shared" si="2"/>
        <v>35641.999999999876</v>
      </c>
      <c r="E101" s="94">
        <f t="shared" si="3"/>
        <v>735.40000000000271</v>
      </c>
    </row>
    <row r="102" spans="2:5" x14ac:dyDescent="0.2">
      <c r="B102" s="15" t="s">
        <v>37</v>
      </c>
      <c r="C102" s="89">
        <v>2031</v>
      </c>
      <c r="D102" s="92">
        <f t="shared" si="2"/>
        <v>34904.134999999871</v>
      </c>
      <c r="E102" s="94">
        <f t="shared" si="3"/>
        <v>737.86500000000274</v>
      </c>
    </row>
    <row r="103" spans="2:5" x14ac:dyDescent="0.2">
      <c r="B103" s="15" t="s">
        <v>38</v>
      </c>
      <c r="C103" s="89">
        <v>2031</v>
      </c>
      <c r="D103" s="92">
        <f t="shared" si="2"/>
        <v>34163.804999999869</v>
      </c>
      <c r="E103" s="94">
        <f t="shared" si="3"/>
        <v>740.33000000000277</v>
      </c>
    </row>
    <row r="104" spans="2:5" x14ac:dyDescent="0.2">
      <c r="B104" s="15" t="s">
        <v>39</v>
      </c>
      <c r="C104" s="89">
        <v>2031</v>
      </c>
      <c r="D104" s="92">
        <f t="shared" si="2"/>
        <v>33421.009999999864</v>
      </c>
      <c r="E104" s="94">
        <f t="shared" si="3"/>
        <v>742.7950000000028</v>
      </c>
    </row>
    <row r="105" spans="2:5" x14ac:dyDescent="0.2">
      <c r="B105" s="15" t="s">
        <v>40</v>
      </c>
      <c r="C105" s="89">
        <v>2031</v>
      </c>
      <c r="D105" s="92">
        <f t="shared" si="2"/>
        <v>32675.749999999862</v>
      </c>
      <c r="E105" s="94">
        <f t="shared" si="3"/>
        <v>745.26000000000283</v>
      </c>
    </row>
    <row r="106" spans="2:5" x14ac:dyDescent="0.2">
      <c r="B106" s="15" t="s">
        <v>41</v>
      </c>
      <c r="C106" s="89">
        <v>2031</v>
      </c>
      <c r="D106" s="92">
        <f t="shared" si="2"/>
        <v>31928.02499999986</v>
      </c>
      <c r="E106" s="94">
        <f t="shared" si="3"/>
        <v>747.72500000000286</v>
      </c>
    </row>
    <row r="107" spans="2:5" x14ac:dyDescent="0.2">
      <c r="B107" s="15" t="s">
        <v>30</v>
      </c>
      <c r="C107" s="89">
        <v>2031</v>
      </c>
      <c r="D107" s="92">
        <f t="shared" si="2"/>
        <v>31177.834999999857</v>
      </c>
      <c r="E107" s="94">
        <f t="shared" si="3"/>
        <v>750.1900000000029</v>
      </c>
    </row>
    <row r="108" spans="2:5" x14ac:dyDescent="0.2">
      <c r="B108" s="15" t="s">
        <v>31</v>
      </c>
      <c r="C108" s="89">
        <v>2031</v>
      </c>
      <c r="D108" s="92">
        <f t="shared" si="2"/>
        <v>30425.179999999855</v>
      </c>
      <c r="E108" s="94">
        <f t="shared" si="3"/>
        <v>752.65500000000293</v>
      </c>
    </row>
    <row r="109" spans="2:5" x14ac:dyDescent="0.2">
      <c r="B109" s="15" t="s">
        <v>32</v>
      </c>
      <c r="C109" s="89">
        <v>2032</v>
      </c>
      <c r="D109" s="92">
        <f t="shared" si="2"/>
        <v>29670.059999999852</v>
      </c>
      <c r="E109" s="94">
        <f t="shared" si="3"/>
        <v>755.12000000000296</v>
      </c>
    </row>
    <row r="110" spans="2:5" x14ac:dyDescent="0.2">
      <c r="B110" s="15" t="s">
        <v>33</v>
      </c>
      <c r="C110" s="89">
        <v>2032</v>
      </c>
      <c r="D110" s="92">
        <f t="shared" si="2"/>
        <v>28912.474999999849</v>
      </c>
      <c r="E110" s="94">
        <f t="shared" si="3"/>
        <v>757.58500000000299</v>
      </c>
    </row>
    <row r="111" spans="2:5" x14ac:dyDescent="0.2">
      <c r="B111" s="15" t="s">
        <v>34</v>
      </c>
      <c r="C111" s="89">
        <v>2032</v>
      </c>
      <c r="D111" s="92">
        <f t="shared" si="2"/>
        <v>28152.424999999846</v>
      </c>
      <c r="E111" s="94">
        <f t="shared" si="3"/>
        <v>760.05000000000302</v>
      </c>
    </row>
    <row r="112" spans="2:5" x14ac:dyDescent="0.2">
      <c r="B112" s="15" t="s">
        <v>35</v>
      </c>
      <c r="C112" s="89">
        <v>2032</v>
      </c>
      <c r="D112" s="92">
        <f t="shared" si="2"/>
        <v>27389.909999999843</v>
      </c>
      <c r="E112" s="94">
        <f t="shared" si="3"/>
        <v>762.51500000000306</v>
      </c>
    </row>
    <row r="113" spans="2:5" x14ac:dyDescent="0.2">
      <c r="B113" s="15" t="s">
        <v>36</v>
      </c>
      <c r="C113" s="89">
        <v>2032</v>
      </c>
      <c r="D113" s="92">
        <f t="shared" si="2"/>
        <v>26624.92999999984</v>
      </c>
      <c r="E113" s="94">
        <f t="shared" si="3"/>
        <v>764.98000000000309</v>
      </c>
    </row>
    <row r="114" spans="2:5" x14ac:dyDescent="0.2">
      <c r="B114" s="15" t="s">
        <v>37</v>
      </c>
      <c r="C114" s="89">
        <v>2032</v>
      </c>
      <c r="D114" s="92">
        <f t="shared" si="2"/>
        <v>25857.484999999837</v>
      </c>
      <c r="E114" s="94">
        <f t="shared" si="3"/>
        <v>767.44500000000312</v>
      </c>
    </row>
    <row r="115" spans="2:5" x14ac:dyDescent="0.2">
      <c r="B115" s="15" t="s">
        <v>38</v>
      </c>
      <c r="C115" s="89">
        <v>2032</v>
      </c>
      <c r="D115" s="92">
        <f t="shared" si="2"/>
        <v>25087.574999999833</v>
      </c>
      <c r="E115" s="94">
        <f t="shared" si="3"/>
        <v>769.91000000000315</v>
      </c>
    </row>
    <row r="116" spans="2:5" x14ac:dyDescent="0.2">
      <c r="B116" s="15" t="s">
        <v>39</v>
      </c>
      <c r="C116" s="89">
        <v>2032</v>
      </c>
      <c r="D116" s="92">
        <f t="shared" si="2"/>
        <v>24315.19999999983</v>
      </c>
      <c r="E116" s="94">
        <f t="shared" si="3"/>
        <v>772.37500000000318</v>
      </c>
    </row>
    <row r="117" spans="2:5" x14ac:dyDescent="0.2">
      <c r="B117" s="15" t="s">
        <v>40</v>
      </c>
      <c r="C117" s="89">
        <v>2032</v>
      </c>
      <c r="D117" s="92">
        <f t="shared" si="2"/>
        <v>23540.359999999826</v>
      </c>
      <c r="E117" s="94">
        <f t="shared" si="3"/>
        <v>774.84000000000322</v>
      </c>
    </row>
    <row r="118" spans="2:5" x14ac:dyDescent="0.2">
      <c r="B118" s="15" t="s">
        <v>41</v>
      </c>
      <c r="C118" s="89">
        <v>2032</v>
      </c>
      <c r="D118" s="92">
        <f t="shared" si="2"/>
        <v>22763.054999999822</v>
      </c>
      <c r="E118" s="94">
        <f t="shared" si="3"/>
        <v>777.30500000000325</v>
      </c>
    </row>
    <row r="119" spans="2:5" x14ac:dyDescent="0.2">
      <c r="B119" s="15" t="s">
        <v>30</v>
      </c>
      <c r="C119" s="89">
        <v>2032</v>
      </c>
      <c r="D119" s="92">
        <f t="shared" si="2"/>
        <v>21983.284999999818</v>
      </c>
      <c r="E119" s="94">
        <f t="shared" si="3"/>
        <v>779.77000000000328</v>
      </c>
    </row>
    <row r="120" spans="2:5" x14ac:dyDescent="0.2">
      <c r="B120" s="15" t="s">
        <v>31</v>
      </c>
      <c r="C120" s="89">
        <v>2032</v>
      </c>
      <c r="D120" s="92">
        <f t="shared" si="2"/>
        <v>21201.049999999814</v>
      </c>
      <c r="E120" s="94">
        <f t="shared" si="3"/>
        <v>782.23500000000331</v>
      </c>
    </row>
    <row r="121" spans="2:5" x14ac:dyDescent="0.2">
      <c r="B121" s="15" t="s">
        <v>32</v>
      </c>
      <c r="C121" s="89">
        <v>2033</v>
      </c>
      <c r="D121" s="92">
        <f t="shared" si="2"/>
        <v>20416.349999999809</v>
      </c>
      <c r="E121" s="94">
        <f t="shared" si="3"/>
        <v>784.70000000000334</v>
      </c>
    </row>
    <row r="122" spans="2:5" x14ac:dyDescent="0.2">
      <c r="B122" s="15" t="s">
        <v>33</v>
      </c>
      <c r="C122" s="89">
        <v>2033</v>
      </c>
      <c r="D122" s="92">
        <f t="shared" si="2"/>
        <v>19629.184999999805</v>
      </c>
      <c r="E122" s="94">
        <f t="shared" si="3"/>
        <v>787.16500000000337</v>
      </c>
    </row>
    <row r="123" spans="2:5" x14ac:dyDescent="0.2">
      <c r="B123" s="15" t="s">
        <v>34</v>
      </c>
      <c r="C123" s="89">
        <v>2033</v>
      </c>
      <c r="D123" s="92">
        <f t="shared" si="2"/>
        <v>18839.5549999998</v>
      </c>
      <c r="E123" s="94">
        <f t="shared" si="3"/>
        <v>789.63000000000341</v>
      </c>
    </row>
    <row r="124" spans="2:5" x14ac:dyDescent="0.2">
      <c r="B124" s="15" t="s">
        <v>35</v>
      </c>
      <c r="C124" s="89">
        <v>2033</v>
      </c>
      <c r="D124" s="92">
        <f t="shared" si="2"/>
        <v>18047.459999999795</v>
      </c>
      <c r="E124" s="94">
        <f t="shared" si="3"/>
        <v>792.09500000000344</v>
      </c>
    </row>
    <row r="125" spans="2:5" x14ac:dyDescent="0.2">
      <c r="B125" s="15" t="s">
        <v>36</v>
      </c>
      <c r="C125" s="89">
        <v>2033</v>
      </c>
      <c r="D125" s="92">
        <f t="shared" si="2"/>
        <v>17252.89999999979</v>
      </c>
      <c r="E125" s="94">
        <f t="shared" si="3"/>
        <v>794.56000000000347</v>
      </c>
    </row>
    <row r="126" spans="2:5" x14ac:dyDescent="0.2">
      <c r="B126" s="15" t="s">
        <v>37</v>
      </c>
      <c r="C126" s="89">
        <v>2033</v>
      </c>
      <c r="D126" s="92">
        <f t="shared" si="2"/>
        <v>16455.874999999785</v>
      </c>
      <c r="E126" s="94">
        <f t="shared" si="3"/>
        <v>797.0250000000035</v>
      </c>
    </row>
    <row r="127" spans="2:5" x14ac:dyDescent="0.2">
      <c r="B127" s="15" t="s">
        <v>38</v>
      </c>
      <c r="C127" s="89">
        <v>2033</v>
      </c>
      <c r="D127" s="92">
        <f t="shared" si="2"/>
        <v>15656.384999999782</v>
      </c>
      <c r="E127" s="94">
        <f t="shared" si="3"/>
        <v>799.49000000000353</v>
      </c>
    </row>
    <row r="128" spans="2:5" x14ac:dyDescent="0.2">
      <c r="B128" s="15" t="s">
        <v>39</v>
      </c>
      <c r="C128" s="89">
        <v>2033</v>
      </c>
      <c r="D128" s="92">
        <f t="shared" si="2"/>
        <v>14854.429999999778</v>
      </c>
      <c r="E128" s="94">
        <f t="shared" si="3"/>
        <v>801.95500000000357</v>
      </c>
    </row>
    <row r="129" spans="2:5" x14ac:dyDescent="0.2">
      <c r="B129" s="15" t="s">
        <v>40</v>
      </c>
      <c r="C129" s="89">
        <v>2033</v>
      </c>
      <c r="D129" s="92">
        <f t="shared" si="2"/>
        <v>14050.009999999775</v>
      </c>
      <c r="E129" s="94">
        <f t="shared" si="3"/>
        <v>804.4200000000036</v>
      </c>
    </row>
    <row r="130" spans="2:5" x14ac:dyDescent="0.2">
      <c r="B130" s="15" t="s">
        <v>41</v>
      </c>
      <c r="C130" s="89">
        <v>2033</v>
      </c>
      <c r="D130" s="92">
        <f t="shared" si="2"/>
        <v>13243.124999999771</v>
      </c>
      <c r="E130" s="94">
        <f t="shared" si="3"/>
        <v>806.88500000000363</v>
      </c>
    </row>
    <row r="131" spans="2:5" x14ac:dyDescent="0.2">
      <c r="B131" s="15" t="s">
        <v>30</v>
      </c>
      <c r="C131" s="89">
        <v>2033</v>
      </c>
      <c r="D131" s="92">
        <f t="shared" si="2"/>
        <v>12433.774999999767</v>
      </c>
      <c r="E131" s="94">
        <f t="shared" si="3"/>
        <v>809.35000000000366</v>
      </c>
    </row>
    <row r="132" spans="2:5" x14ac:dyDescent="0.2">
      <c r="B132" s="15" t="s">
        <v>31</v>
      </c>
      <c r="C132" s="89">
        <v>2033</v>
      </c>
      <c r="D132" s="92">
        <f t="shared" si="2"/>
        <v>11621.959999999763</v>
      </c>
      <c r="E132" s="94">
        <f t="shared" si="3"/>
        <v>811.81500000000369</v>
      </c>
    </row>
    <row r="133" spans="2:5" x14ac:dyDescent="0.2">
      <c r="B133" s="15" t="s">
        <v>32</v>
      </c>
      <c r="C133" s="89">
        <v>2034</v>
      </c>
      <c r="D133" s="92">
        <f t="shared" si="2"/>
        <v>10807.679999999758</v>
      </c>
      <c r="E133" s="94">
        <f t="shared" si="3"/>
        <v>814.28000000000372</v>
      </c>
    </row>
    <row r="134" spans="2:5" x14ac:dyDescent="0.2">
      <c r="B134" s="15" t="s">
        <v>33</v>
      </c>
      <c r="C134" s="89">
        <v>2034</v>
      </c>
      <c r="D134" s="92">
        <f t="shared" si="2"/>
        <v>9990.9349999997539</v>
      </c>
      <c r="E134" s="94">
        <f t="shared" si="3"/>
        <v>816.74500000000376</v>
      </c>
    </row>
    <row r="135" spans="2:5" x14ac:dyDescent="0.2">
      <c r="B135" s="15" t="s">
        <v>34</v>
      </c>
      <c r="C135" s="89">
        <v>2034</v>
      </c>
      <c r="D135" s="92">
        <f t="shared" ref="D135:D148" si="4">D134-$E135</f>
        <v>9171.7249999997493</v>
      </c>
      <c r="E135" s="94">
        <f t="shared" ref="E135:E148" si="5">E134+2.465</f>
        <v>819.21000000000379</v>
      </c>
    </row>
    <row r="136" spans="2:5" x14ac:dyDescent="0.2">
      <c r="B136" s="15" t="s">
        <v>35</v>
      </c>
      <c r="C136" s="89">
        <v>2034</v>
      </c>
      <c r="D136" s="92">
        <f t="shared" si="4"/>
        <v>8350.0499999997446</v>
      </c>
      <c r="E136" s="94">
        <f t="shared" si="5"/>
        <v>821.67500000000382</v>
      </c>
    </row>
    <row r="137" spans="2:5" x14ac:dyDescent="0.2">
      <c r="B137" s="15" t="s">
        <v>36</v>
      </c>
      <c r="C137" s="89">
        <v>2034</v>
      </c>
      <c r="D137" s="92">
        <f t="shared" si="4"/>
        <v>7525.9099999997406</v>
      </c>
      <c r="E137" s="94">
        <f t="shared" si="5"/>
        <v>824.14000000000385</v>
      </c>
    </row>
    <row r="138" spans="2:5" x14ac:dyDescent="0.2">
      <c r="B138" s="15" t="s">
        <v>37</v>
      </c>
      <c r="C138" s="89">
        <v>2034</v>
      </c>
      <c r="D138" s="92">
        <f t="shared" si="4"/>
        <v>6699.3049999997365</v>
      </c>
      <c r="E138" s="94">
        <f t="shared" si="5"/>
        <v>826.60500000000388</v>
      </c>
    </row>
    <row r="139" spans="2:5" x14ac:dyDescent="0.2">
      <c r="B139" s="15" t="s">
        <v>38</v>
      </c>
      <c r="C139" s="89">
        <v>2034</v>
      </c>
      <c r="D139" s="92">
        <f t="shared" si="4"/>
        <v>5870.2349999997323</v>
      </c>
      <c r="E139" s="94">
        <f t="shared" si="5"/>
        <v>829.07000000000392</v>
      </c>
    </row>
    <row r="140" spans="2:5" x14ac:dyDescent="0.2">
      <c r="B140" s="15" t="s">
        <v>39</v>
      </c>
      <c r="C140" s="89">
        <v>2034</v>
      </c>
      <c r="D140" s="92">
        <f t="shared" si="4"/>
        <v>5038.6999999997279</v>
      </c>
      <c r="E140" s="94">
        <f t="shared" si="5"/>
        <v>831.53500000000395</v>
      </c>
    </row>
    <row r="141" spans="2:5" x14ac:dyDescent="0.2">
      <c r="B141" s="15" t="s">
        <v>40</v>
      </c>
      <c r="C141" s="89">
        <v>2034</v>
      </c>
      <c r="D141" s="92">
        <f t="shared" si="4"/>
        <v>4204.6999999997242</v>
      </c>
      <c r="E141" s="94">
        <f t="shared" si="5"/>
        <v>834.00000000000398</v>
      </c>
    </row>
    <row r="142" spans="2:5" x14ac:dyDescent="0.2">
      <c r="B142" s="15" t="s">
        <v>41</v>
      </c>
      <c r="C142" s="89">
        <v>2034</v>
      </c>
      <c r="D142" s="92">
        <f t="shared" si="4"/>
        <v>3368.2349999997205</v>
      </c>
      <c r="E142" s="94">
        <f t="shared" si="5"/>
        <v>836.46500000000401</v>
      </c>
    </row>
    <row r="143" spans="2:5" x14ac:dyDescent="0.2">
      <c r="B143" s="15" t="s">
        <v>30</v>
      </c>
      <c r="C143" s="89">
        <v>2034</v>
      </c>
      <c r="D143" s="92">
        <f t="shared" si="4"/>
        <v>2529.3049999997165</v>
      </c>
      <c r="E143" s="94">
        <f t="shared" si="5"/>
        <v>838.93000000000404</v>
      </c>
    </row>
    <row r="144" spans="2:5" x14ac:dyDescent="0.2">
      <c r="B144" s="15" t="s">
        <v>31</v>
      </c>
      <c r="C144" s="89">
        <v>2034</v>
      </c>
      <c r="D144" s="92">
        <f t="shared" si="4"/>
        <v>1687.9099999997125</v>
      </c>
      <c r="E144" s="94">
        <f t="shared" si="5"/>
        <v>841.39500000000407</v>
      </c>
    </row>
    <row r="145" spans="2:5" x14ac:dyDescent="0.2">
      <c r="B145" s="15" t="s">
        <v>32</v>
      </c>
      <c r="C145" s="89">
        <v>2035</v>
      </c>
      <c r="D145" s="92">
        <f t="shared" si="4"/>
        <v>844.04999999970835</v>
      </c>
      <c r="E145" s="94">
        <f t="shared" si="5"/>
        <v>843.86000000000411</v>
      </c>
    </row>
    <row r="146" spans="2:5" x14ac:dyDescent="0.2">
      <c r="B146" s="15" t="s">
        <v>33</v>
      </c>
      <c r="C146" s="89">
        <v>2035</v>
      </c>
      <c r="D146" s="92">
        <f t="shared" si="4"/>
        <v>-2.2750000002957904</v>
      </c>
      <c r="E146" s="94">
        <f t="shared" si="5"/>
        <v>846.32500000000414</v>
      </c>
    </row>
    <row r="147" spans="2:5" x14ac:dyDescent="0.2">
      <c r="B147" s="15" t="s">
        <v>34</v>
      </c>
      <c r="C147" s="89">
        <v>2035</v>
      </c>
      <c r="D147" s="92">
        <f t="shared" si="4"/>
        <v>-851.06500000029996</v>
      </c>
      <c r="E147" s="94">
        <f t="shared" si="5"/>
        <v>848.79000000000417</v>
      </c>
    </row>
    <row r="148" spans="2:5" x14ac:dyDescent="0.2">
      <c r="B148" s="15" t="s">
        <v>35</v>
      </c>
      <c r="C148" s="89">
        <v>2035</v>
      </c>
      <c r="D148" s="92">
        <f t="shared" si="4"/>
        <v>-1702.3200000003042</v>
      </c>
      <c r="E148" s="94">
        <f t="shared" si="5"/>
        <v>851.2550000000042</v>
      </c>
    </row>
  </sheetData>
  <mergeCells count="1">
    <mergeCell ref="B2:E2"/>
  </mergeCells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F5125-DA73-41B2-A483-B6253E8B027B}">
  <sheetPr>
    <tabColor theme="8" tint="-0.249977111117893"/>
  </sheetPr>
  <dimension ref="B1:I146"/>
  <sheetViews>
    <sheetView workbookViewId="0"/>
  </sheetViews>
  <sheetFormatPr baseColWidth="10" defaultRowHeight="16" x14ac:dyDescent="0.2"/>
  <cols>
    <col min="1" max="1" width="1.1640625" customWidth="1"/>
    <col min="2" max="2" width="18.6640625" style="31" customWidth="1"/>
    <col min="3" max="3" width="52.83203125" style="31" customWidth="1"/>
    <col min="4" max="4" width="38.83203125" customWidth="1"/>
    <col min="5" max="8" width="25.33203125" customWidth="1"/>
  </cols>
  <sheetData>
    <row r="1" spans="2:9" ht="3" customHeight="1" x14ac:dyDescent="0.2"/>
    <row r="2" spans="2:9" ht="60" x14ac:dyDescent="0.2">
      <c r="B2" s="150" t="s">
        <v>62</v>
      </c>
      <c r="C2" s="150"/>
      <c r="D2" s="150"/>
      <c r="E2" s="150"/>
      <c r="F2" s="150"/>
      <c r="G2" s="150"/>
      <c r="H2" s="150"/>
      <c r="I2" s="37"/>
    </row>
    <row r="3" spans="2:9" ht="2.25" customHeight="1" x14ac:dyDescent="0.2"/>
    <row r="4" spans="2:9" ht="34" x14ac:dyDescent="0.2">
      <c r="B4" s="33" t="s">
        <v>28</v>
      </c>
      <c r="C4" s="38" t="s">
        <v>29</v>
      </c>
      <c r="D4" s="39" t="s">
        <v>44</v>
      </c>
      <c r="E4" s="39" t="s">
        <v>46</v>
      </c>
      <c r="F4" s="39" t="s">
        <v>47</v>
      </c>
      <c r="G4" s="39" t="s">
        <v>49</v>
      </c>
      <c r="H4" s="40" t="s">
        <v>50</v>
      </c>
      <c r="I4" s="41"/>
    </row>
    <row r="5" spans="2:9" x14ac:dyDescent="0.2">
      <c r="B5" s="15" t="s">
        <v>30</v>
      </c>
      <c r="C5" s="32">
        <v>2022</v>
      </c>
      <c r="D5" s="24">
        <f>'Vision patrimoine'!$E$22</f>
        <v>332569</v>
      </c>
      <c r="E5" s="24" t="e">
        <f>'Vision patrimoine'!#REF!</f>
        <v>#REF!</v>
      </c>
      <c r="F5" s="24">
        <f>'Vision patrimoine'!$E$23</f>
        <v>103262.68</v>
      </c>
      <c r="G5" s="24">
        <f>'Vision patrimoine'!$E$24</f>
        <v>76008</v>
      </c>
      <c r="H5" s="24">
        <f>'Vision patrimoine'!$E$25</f>
        <v>41288.94</v>
      </c>
    </row>
    <row r="6" spans="2:9" x14ac:dyDescent="0.2">
      <c r="B6" s="15" t="s">
        <v>31</v>
      </c>
      <c r="C6" s="32">
        <v>2022</v>
      </c>
      <c r="D6" s="24">
        <f>D5-'Vision patrimoine'!$H$22</f>
        <v>329258.95</v>
      </c>
      <c r="E6" s="24" t="e">
        <f>E5-'Vision patrimoine'!#REF!</f>
        <v>#REF!</v>
      </c>
      <c r="F6" s="24">
        <f>F5-'Vision patrimoine'!$H$23</f>
        <v>102408.12999999999</v>
      </c>
      <c r="G6" s="24">
        <f>G5-'Vision patrimoine'!$H$24</f>
        <v>75480</v>
      </c>
      <c r="H6" s="24">
        <f>H5-'Vision patrimoine'!$H$25</f>
        <v>41001.5</v>
      </c>
    </row>
    <row r="7" spans="2:9" x14ac:dyDescent="0.2">
      <c r="B7" s="15" t="s">
        <v>32</v>
      </c>
      <c r="C7" s="32">
        <v>2023</v>
      </c>
      <c r="D7" s="24">
        <f>D6-'Vision patrimoine'!$H$22</f>
        <v>325948.90000000002</v>
      </c>
      <c r="E7" s="24" t="e">
        <f>E6-'Vision patrimoine'!#REF!</f>
        <v>#REF!</v>
      </c>
      <c r="F7" s="24">
        <f>F6-'Vision patrimoine'!$H$23</f>
        <v>101553.57999999999</v>
      </c>
      <c r="G7" s="24">
        <f>G6-'Vision patrimoine'!$H$24</f>
        <v>74952</v>
      </c>
      <c r="H7" s="24">
        <f>H6-'Vision patrimoine'!$H$25</f>
        <v>40714.06</v>
      </c>
    </row>
    <row r="8" spans="2:9" x14ac:dyDescent="0.2">
      <c r="B8" s="15" t="s">
        <v>33</v>
      </c>
      <c r="C8" s="32">
        <v>2023</v>
      </c>
      <c r="D8" s="24">
        <f>D7-'Vision patrimoine'!$H$22</f>
        <v>322638.85000000003</v>
      </c>
      <c r="E8" s="24" t="e">
        <f>E7-'Vision patrimoine'!#REF!</f>
        <v>#REF!</v>
      </c>
      <c r="F8" s="24">
        <f>F7-'Vision patrimoine'!$H$23</f>
        <v>100699.02999999998</v>
      </c>
      <c r="G8" s="24">
        <f>G7-'Vision patrimoine'!$H$24</f>
        <v>74424</v>
      </c>
      <c r="H8" s="24">
        <f>H7-'Vision patrimoine'!$H$25</f>
        <v>40426.619999999995</v>
      </c>
    </row>
    <row r="9" spans="2:9" x14ac:dyDescent="0.2">
      <c r="B9" s="15" t="s">
        <v>34</v>
      </c>
      <c r="C9" s="32">
        <v>2023</v>
      </c>
      <c r="D9" s="24">
        <f>D8-'Vision patrimoine'!$H$22</f>
        <v>319328.80000000005</v>
      </c>
      <c r="E9" s="24" t="e">
        <f>E8-'Vision patrimoine'!#REF!</f>
        <v>#REF!</v>
      </c>
      <c r="F9" s="24">
        <f>F8-'Vision patrimoine'!$H$23</f>
        <v>99844.479999999981</v>
      </c>
      <c r="G9" s="24">
        <f>G8-'Vision patrimoine'!$H$24</f>
        <v>73896</v>
      </c>
      <c r="H9" s="24">
        <f>H8-'Vision patrimoine'!$H$25</f>
        <v>40139.179999999993</v>
      </c>
    </row>
    <row r="10" spans="2:9" x14ac:dyDescent="0.2">
      <c r="B10" s="15" t="s">
        <v>35</v>
      </c>
      <c r="C10" s="32">
        <v>2023</v>
      </c>
      <c r="D10" s="24">
        <f>D9-'Vision patrimoine'!$H$22</f>
        <v>316018.75000000006</v>
      </c>
      <c r="E10" s="24" t="e">
        <f>E9-'Vision patrimoine'!#REF!</f>
        <v>#REF!</v>
      </c>
      <c r="F10" s="24">
        <f>F9-'Vision patrimoine'!$H$23</f>
        <v>98989.929999999978</v>
      </c>
      <c r="G10" s="24">
        <f>G9-'Vision patrimoine'!$H$24</f>
        <v>73368</v>
      </c>
      <c r="H10" s="24">
        <f>H9-'Vision patrimoine'!$H$25</f>
        <v>39851.739999999991</v>
      </c>
    </row>
    <row r="11" spans="2:9" x14ac:dyDescent="0.2">
      <c r="B11" s="15" t="s">
        <v>36</v>
      </c>
      <c r="C11" s="32">
        <v>2023</v>
      </c>
      <c r="D11" s="24">
        <f>D10-'Vision patrimoine'!$H$22</f>
        <v>312708.70000000007</v>
      </c>
      <c r="E11" s="24" t="e">
        <f>E10-'Vision patrimoine'!#REF!</f>
        <v>#REF!</v>
      </c>
      <c r="F11" s="24">
        <f>F10-'Vision patrimoine'!$H$23</f>
        <v>98135.379999999976</v>
      </c>
      <c r="G11" s="24">
        <f>G10-'Vision patrimoine'!$H$24</f>
        <v>72840</v>
      </c>
      <c r="H11" s="24">
        <f>H10-'Vision patrimoine'!$H$25</f>
        <v>39564.299999999988</v>
      </c>
    </row>
    <row r="12" spans="2:9" x14ac:dyDescent="0.2">
      <c r="B12" s="15" t="s">
        <v>37</v>
      </c>
      <c r="C12" s="32">
        <v>2023</v>
      </c>
      <c r="D12" s="24">
        <f>D11-'Vision patrimoine'!$H$22</f>
        <v>309398.65000000008</v>
      </c>
      <c r="E12" s="24" t="e">
        <f>E11-'Vision patrimoine'!#REF!</f>
        <v>#REF!</v>
      </c>
      <c r="F12" s="24">
        <f>F11-'Vision patrimoine'!$H$23</f>
        <v>97280.829999999973</v>
      </c>
      <c r="G12" s="24">
        <f>G11-'Vision patrimoine'!$H$24</f>
        <v>72312</v>
      </c>
      <c r="H12" s="24">
        <f>H11-'Vision patrimoine'!$H$25</f>
        <v>39276.859999999986</v>
      </c>
    </row>
    <row r="13" spans="2:9" x14ac:dyDescent="0.2">
      <c r="B13" s="15" t="s">
        <v>38</v>
      </c>
      <c r="C13" s="32">
        <v>2023</v>
      </c>
      <c r="D13" s="24">
        <f>D12-'Vision patrimoine'!$H$22</f>
        <v>306088.60000000009</v>
      </c>
      <c r="E13" s="24" t="e">
        <f>E12-'Vision patrimoine'!#REF!</f>
        <v>#REF!</v>
      </c>
      <c r="F13" s="24">
        <f>F12-'Vision patrimoine'!$H$23</f>
        <v>96426.27999999997</v>
      </c>
      <c r="G13" s="24">
        <f>G12-'Vision patrimoine'!$H$24</f>
        <v>71784</v>
      </c>
      <c r="H13" s="24">
        <f>H12-'Vision patrimoine'!$H$25</f>
        <v>38989.419999999984</v>
      </c>
    </row>
    <row r="14" spans="2:9" x14ac:dyDescent="0.2">
      <c r="B14" s="15" t="s">
        <v>39</v>
      </c>
      <c r="C14" s="32">
        <v>2023</v>
      </c>
      <c r="D14" s="24">
        <f>D13-'Vision patrimoine'!$H$22</f>
        <v>302778.5500000001</v>
      </c>
      <c r="E14" s="24" t="e">
        <f>E13-'Vision patrimoine'!#REF!</f>
        <v>#REF!</v>
      </c>
      <c r="F14" s="24">
        <f>F13-'Vision patrimoine'!$H$23</f>
        <v>95571.729999999967</v>
      </c>
      <c r="G14" s="24">
        <f>G13-'Vision patrimoine'!$H$24</f>
        <v>71256</v>
      </c>
      <c r="H14" s="24">
        <f>H13-'Vision patrimoine'!$H$25</f>
        <v>38701.979999999981</v>
      </c>
    </row>
    <row r="15" spans="2:9" x14ac:dyDescent="0.2">
      <c r="B15" s="15" t="s">
        <v>40</v>
      </c>
      <c r="C15" s="32">
        <v>2023</v>
      </c>
      <c r="D15" s="24">
        <f>D14-'Vision patrimoine'!$H$22</f>
        <v>299468.50000000012</v>
      </c>
      <c r="E15" s="24" t="e">
        <f>E14-'Vision patrimoine'!#REF!</f>
        <v>#REF!</v>
      </c>
      <c r="F15" s="24">
        <f>F14-'Vision patrimoine'!$H$23</f>
        <v>94717.179999999964</v>
      </c>
      <c r="G15" s="24">
        <f>G14-'Vision patrimoine'!$H$24</f>
        <v>70728</v>
      </c>
      <c r="H15" s="24">
        <f>H14-'Vision patrimoine'!$H$25</f>
        <v>38414.539999999979</v>
      </c>
    </row>
    <row r="16" spans="2:9" x14ac:dyDescent="0.2">
      <c r="B16" s="15" t="s">
        <v>41</v>
      </c>
      <c r="C16" s="32">
        <v>2023</v>
      </c>
      <c r="D16" s="24">
        <f>D15-'Vision patrimoine'!$H$22</f>
        <v>296158.45000000013</v>
      </c>
      <c r="E16" s="24" t="e">
        <f>E15-'Vision patrimoine'!#REF!</f>
        <v>#REF!</v>
      </c>
      <c r="F16" s="24">
        <f>F15-'Vision patrimoine'!$H$23</f>
        <v>93862.629999999961</v>
      </c>
      <c r="G16" s="24">
        <f>G15-'Vision patrimoine'!$H$24</f>
        <v>70200</v>
      </c>
      <c r="H16" s="24">
        <f>H15-'Vision patrimoine'!$H$25</f>
        <v>38127.099999999977</v>
      </c>
    </row>
    <row r="17" spans="2:8" x14ac:dyDescent="0.2">
      <c r="B17" s="15" t="s">
        <v>30</v>
      </c>
      <c r="C17" s="32">
        <v>2023</v>
      </c>
      <c r="D17" s="24">
        <f>D16-'Vision patrimoine'!$H$22</f>
        <v>292848.40000000014</v>
      </c>
      <c r="E17" s="24" t="e">
        <f>E16-'Vision patrimoine'!#REF!</f>
        <v>#REF!</v>
      </c>
      <c r="F17" s="24">
        <f>F16-'Vision patrimoine'!$H$23</f>
        <v>93008.079999999958</v>
      </c>
      <c r="G17" s="24">
        <f>G16-'Vision patrimoine'!$H$24</f>
        <v>69672</v>
      </c>
      <c r="H17" s="24">
        <f>H16-'Vision patrimoine'!$H$25</f>
        <v>37839.659999999974</v>
      </c>
    </row>
    <row r="18" spans="2:8" x14ac:dyDescent="0.2">
      <c r="B18" s="15" t="s">
        <v>31</v>
      </c>
      <c r="C18" s="32">
        <v>2023</v>
      </c>
      <c r="D18" s="24">
        <f>D17-'Vision patrimoine'!$H$22</f>
        <v>289538.35000000015</v>
      </c>
      <c r="E18" s="24" t="e">
        <f>E17-'Vision patrimoine'!#REF!</f>
        <v>#REF!</v>
      </c>
      <c r="F18" s="24">
        <f>F17-'Vision patrimoine'!$H$23</f>
        <v>92153.529999999955</v>
      </c>
      <c r="G18" s="24">
        <f>G17-'Vision patrimoine'!$H$24</f>
        <v>69144</v>
      </c>
      <c r="H18" s="24">
        <f>H17-'Vision patrimoine'!$H$25</f>
        <v>37552.219999999972</v>
      </c>
    </row>
    <row r="19" spans="2:8" x14ac:dyDescent="0.2">
      <c r="B19" s="15" t="s">
        <v>32</v>
      </c>
      <c r="C19" s="32">
        <v>2024</v>
      </c>
      <c r="D19" s="24">
        <f>D18-'Vision patrimoine'!$H$22</f>
        <v>286228.30000000016</v>
      </c>
      <c r="E19" s="24" t="e">
        <f>E18-'Vision patrimoine'!#REF!</f>
        <v>#REF!</v>
      </c>
      <c r="F19" s="24">
        <f>F18-'Vision patrimoine'!$H$23</f>
        <v>91298.979999999952</v>
      </c>
      <c r="G19" s="24">
        <f>G18-'Vision patrimoine'!$H$24</f>
        <v>68616</v>
      </c>
      <c r="H19" s="24">
        <f>H18-'Vision patrimoine'!$H$25</f>
        <v>37264.77999999997</v>
      </c>
    </row>
    <row r="20" spans="2:8" x14ac:dyDescent="0.2">
      <c r="B20" s="15" t="s">
        <v>33</v>
      </c>
      <c r="C20" s="32">
        <v>2024</v>
      </c>
      <c r="D20" s="24">
        <f>D19-'Vision patrimoine'!$H$22</f>
        <v>282918.25000000017</v>
      </c>
      <c r="E20" s="24" t="e">
        <f>E19-'Vision patrimoine'!#REF!</f>
        <v>#REF!</v>
      </c>
      <c r="F20" s="24">
        <f>F19-'Vision patrimoine'!$H$23</f>
        <v>90444.429999999949</v>
      </c>
      <c r="G20" s="24">
        <f>G19-'Vision patrimoine'!$H$24</f>
        <v>68088</v>
      </c>
      <c r="H20" s="24">
        <f>H19-'Vision patrimoine'!$H$25</f>
        <v>36977.339999999967</v>
      </c>
    </row>
    <row r="21" spans="2:8" x14ac:dyDescent="0.2">
      <c r="B21" s="15" t="s">
        <v>34</v>
      </c>
      <c r="C21" s="32">
        <v>2024</v>
      </c>
      <c r="D21" s="24">
        <f>D20-'Vision patrimoine'!$H$22</f>
        <v>279608.20000000019</v>
      </c>
      <c r="E21" s="24" t="e">
        <f>E20-'Vision patrimoine'!#REF!</f>
        <v>#REF!</v>
      </c>
      <c r="F21" s="24">
        <f>F20-'Vision patrimoine'!$H$23</f>
        <v>89589.879999999946</v>
      </c>
      <c r="G21" s="24">
        <f>G20-'Vision patrimoine'!$H$24</f>
        <v>67560</v>
      </c>
      <c r="H21" s="24">
        <f>H20-'Vision patrimoine'!$H$25</f>
        <v>36689.899999999965</v>
      </c>
    </row>
    <row r="22" spans="2:8" x14ac:dyDescent="0.2">
      <c r="B22" s="15" t="s">
        <v>35</v>
      </c>
      <c r="C22" s="32">
        <v>2024</v>
      </c>
      <c r="D22" s="24">
        <f>D21-'Vision patrimoine'!$H$22</f>
        <v>276298.1500000002</v>
      </c>
      <c r="E22" s="24" t="e">
        <f>E21-'Vision patrimoine'!#REF!</f>
        <v>#REF!</v>
      </c>
      <c r="F22" s="24">
        <f>F21-'Vision patrimoine'!$H$23</f>
        <v>88735.329999999944</v>
      </c>
      <c r="G22" s="24">
        <f>G21-'Vision patrimoine'!$H$24</f>
        <v>67032</v>
      </c>
      <c r="H22" s="24">
        <f>H21-'Vision patrimoine'!$H$25</f>
        <v>36402.459999999963</v>
      </c>
    </row>
    <row r="23" spans="2:8" x14ac:dyDescent="0.2">
      <c r="B23" s="15" t="s">
        <v>36</v>
      </c>
      <c r="C23" s="32">
        <v>2024</v>
      </c>
      <c r="D23" s="24">
        <f>D22-'Vision patrimoine'!$H$22</f>
        <v>272988.10000000021</v>
      </c>
      <c r="E23" s="24" t="e">
        <f>E22-'Vision patrimoine'!#REF!</f>
        <v>#REF!</v>
      </c>
      <c r="F23" s="24">
        <f>F22-'Vision patrimoine'!$H$23</f>
        <v>87880.779999999941</v>
      </c>
      <c r="G23" s="24">
        <f>G22-'Vision patrimoine'!$H$24</f>
        <v>66504</v>
      </c>
      <c r="H23" s="24">
        <f>H22-'Vision patrimoine'!$H$25</f>
        <v>36115.01999999996</v>
      </c>
    </row>
    <row r="24" spans="2:8" x14ac:dyDescent="0.2">
      <c r="B24" s="15" t="s">
        <v>37</v>
      </c>
      <c r="C24" s="32">
        <v>2024</v>
      </c>
      <c r="D24" s="24">
        <f>D23-'Vision patrimoine'!$H$22</f>
        <v>269678.05000000022</v>
      </c>
      <c r="E24" s="24" t="e">
        <f>E23-'Vision patrimoine'!#REF!</f>
        <v>#REF!</v>
      </c>
      <c r="F24" s="24">
        <f>F23-'Vision patrimoine'!$H$23</f>
        <v>87026.229999999938</v>
      </c>
      <c r="G24" s="24">
        <f>G23-'Vision patrimoine'!$H$24</f>
        <v>65976</v>
      </c>
      <c r="H24" s="24">
        <f>H23-'Vision patrimoine'!$H$25</f>
        <v>35827.579999999958</v>
      </c>
    </row>
    <row r="25" spans="2:8" x14ac:dyDescent="0.2">
      <c r="B25" s="15" t="s">
        <v>38</v>
      </c>
      <c r="C25" s="32">
        <v>2024</v>
      </c>
      <c r="D25" s="24">
        <f>D24-'Vision patrimoine'!$H$22</f>
        <v>266368.00000000023</v>
      </c>
      <c r="E25" s="24" t="e">
        <f>E24-'Vision patrimoine'!#REF!</f>
        <v>#REF!</v>
      </c>
      <c r="F25" s="24">
        <f>F24-'Vision patrimoine'!$H$23</f>
        <v>86171.679999999935</v>
      </c>
      <c r="G25" s="24">
        <f>G24-'Vision patrimoine'!$H$24</f>
        <v>65448</v>
      </c>
      <c r="H25" s="24">
        <f>H24-'Vision patrimoine'!$H$25</f>
        <v>35540.139999999956</v>
      </c>
    </row>
    <row r="26" spans="2:8" x14ac:dyDescent="0.2">
      <c r="B26" s="15" t="s">
        <v>39</v>
      </c>
      <c r="C26" s="32">
        <v>2024</v>
      </c>
      <c r="D26" s="24">
        <f>D25-'Vision patrimoine'!$H$22</f>
        <v>263057.95000000024</v>
      </c>
      <c r="E26" s="24" t="e">
        <f>E25-'Vision patrimoine'!#REF!</f>
        <v>#REF!</v>
      </c>
      <c r="F26" s="24">
        <f>F25-'Vision patrimoine'!$H$23</f>
        <v>85317.129999999932</v>
      </c>
      <c r="G26" s="24">
        <f>G25-'Vision patrimoine'!$H$24</f>
        <v>64920</v>
      </c>
      <c r="H26" s="24">
        <f>H25-'Vision patrimoine'!$H$25</f>
        <v>35252.699999999953</v>
      </c>
    </row>
    <row r="27" spans="2:8" x14ac:dyDescent="0.2">
      <c r="B27" s="15" t="s">
        <v>40</v>
      </c>
      <c r="C27" s="32">
        <v>2024</v>
      </c>
      <c r="D27" s="24">
        <f>D26-'Vision patrimoine'!$H$22</f>
        <v>259747.90000000026</v>
      </c>
      <c r="E27" s="24" t="e">
        <f>E26-'Vision patrimoine'!#REF!</f>
        <v>#REF!</v>
      </c>
      <c r="F27" s="24">
        <f>F26-'Vision patrimoine'!$H$23</f>
        <v>84462.579999999929</v>
      </c>
      <c r="G27" s="24">
        <f>G26-'Vision patrimoine'!$H$24</f>
        <v>64392</v>
      </c>
      <c r="H27" s="24">
        <f>H26-'Vision patrimoine'!$H$25</f>
        <v>34965.259999999951</v>
      </c>
    </row>
    <row r="28" spans="2:8" x14ac:dyDescent="0.2">
      <c r="B28" s="15" t="s">
        <v>41</v>
      </c>
      <c r="C28" s="32">
        <v>2024</v>
      </c>
      <c r="D28" s="24">
        <f>D27-'Vision patrimoine'!$H$22</f>
        <v>256437.85000000027</v>
      </c>
      <c r="E28" s="24" t="e">
        <f>E27-'Vision patrimoine'!#REF!</f>
        <v>#REF!</v>
      </c>
      <c r="F28" s="24">
        <f>F27-'Vision patrimoine'!$H$23</f>
        <v>83608.029999999926</v>
      </c>
      <c r="G28" s="24">
        <f>G27-'Vision patrimoine'!$H$24</f>
        <v>63864</v>
      </c>
      <c r="H28" s="24">
        <f>H27-'Vision patrimoine'!$H$25</f>
        <v>34677.819999999949</v>
      </c>
    </row>
    <row r="29" spans="2:8" x14ac:dyDescent="0.2">
      <c r="B29" s="15" t="s">
        <v>30</v>
      </c>
      <c r="C29" s="32">
        <v>2024</v>
      </c>
      <c r="D29" s="24">
        <f>D28-'Vision patrimoine'!$H$22</f>
        <v>253127.80000000028</v>
      </c>
      <c r="E29" s="24" t="e">
        <f>E28-'Vision patrimoine'!#REF!</f>
        <v>#REF!</v>
      </c>
      <c r="F29" s="24">
        <f>F28-'Vision patrimoine'!$H$23</f>
        <v>82753.479999999923</v>
      </c>
      <c r="G29" s="24">
        <f>G28-'Vision patrimoine'!$H$24</f>
        <v>63336</v>
      </c>
      <c r="H29" s="24">
        <f>H28-'Vision patrimoine'!$H$25</f>
        <v>34390.379999999946</v>
      </c>
    </row>
    <row r="30" spans="2:8" x14ac:dyDescent="0.2">
      <c r="B30" s="15" t="s">
        <v>31</v>
      </c>
      <c r="C30" s="32">
        <v>2024</v>
      </c>
      <c r="D30" s="24">
        <f>D29-'Vision patrimoine'!$H$22</f>
        <v>249817.75000000029</v>
      </c>
      <c r="E30" s="24" t="e">
        <f>E29-'Vision patrimoine'!#REF!</f>
        <v>#REF!</v>
      </c>
      <c r="F30" s="24">
        <f>F29-'Vision patrimoine'!$H$23</f>
        <v>81898.92999999992</v>
      </c>
      <c r="G30" s="24">
        <f>G29-'Vision patrimoine'!$H$24</f>
        <v>62808</v>
      </c>
      <c r="H30" s="24">
        <f>H29-'Vision patrimoine'!$H$25</f>
        <v>34102.939999999944</v>
      </c>
    </row>
    <row r="31" spans="2:8" x14ac:dyDescent="0.2">
      <c r="B31" s="15" t="s">
        <v>32</v>
      </c>
      <c r="C31" s="32">
        <v>2025</v>
      </c>
      <c r="D31" s="24">
        <f>D30-'Vision patrimoine'!$H$22</f>
        <v>246507.7000000003</v>
      </c>
      <c r="E31" s="24" t="e">
        <f>E30-'Vision patrimoine'!#REF!</f>
        <v>#REF!</v>
      </c>
      <c r="F31" s="24">
        <f>F30-'Vision patrimoine'!$H$23</f>
        <v>81044.379999999917</v>
      </c>
      <c r="G31" s="24">
        <f>G30-'Vision patrimoine'!$H$24</f>
        <v>62280</v>
      </c>
      <c r="H31" s="24">
        <f>H30-'Vision patrimoine'!$H$25</f>
        <v>33815.499999999942</v>
      </c>
    </row>
    <row r="32" spans="2:8" x14ac:dyDescent="0.2">
      <c r="B32" s="15" t="s">
        <v>33</v>
      </c>
      <c r="C32" s="32">
        <v>2025</v>
      </c>
      <c r="D32" s="24">
        <f>D31-'Vision patrimoine'!$H$22</f>
        <v>243197.65000000031</v>
      </c>
      <c r="E32" s="24" t="e">
        <f>E31-'Vision patrimoine'!#REF!</f>
        <v>#REF!</v>
      </c>
      <c r="F32" s="24">
        <f>F31-'Vision patrimoine'!$H$23</f>
        <v>80189.829999999914</v>
      </c>
      <c r="G32" s="24">
        <f>G31-'Vision patrimoine'!$H$24</f>
        <v>61752</v>
      </c>
      <c r="H32" s="24">
        <f>H31-'Vision patrimoine'!$H$25</f>
        <v>33528.059999999939</v>
      </c>
    </row>
    <row r="33" spans="2:8" x14ac:dyDescent="0.2">
      <c r="B33" s="15" t="s">
        <v>34</v>
      </c>
      <c r="C33" s="32">
        <v>2025</v>
      </c>
      <c r="D33" s="24">
        <f>D32-'Vision patrimoine'!$H$22</f>
        <v>239887.60000000033</v>
      </c>
      <c r="E33" s="24" t="e">
        <f>E32-'Vision patrimoine'!#REF!</f>
        <v>#REF!</v>
      </c>
      <c r="F33" s="24">
        <f>F32-'Vision patrimoine'!$H$23</f>
        <v>79335.279999999912</v>
      </c>
      <c r="G33" s="24">
        <f>G32-'Vision patrimoine'!$H$24</f>
        <v>61224</v>
      </c>
      <c r="H33" s="24">
        <f>H32-'Vision patrimoine'!$H$25</f>
        <v>33240.619999999937</v>
      </c>
    </row>
    <row r="34" spans="2:8" x14ac:dyDescent="0.2">
      <c r="B34" s="15" t="s">
        <v>35</v>
      </c>
      <c r="C34" s="32">
        <v>2025</v>
      </c>
      <c r="D34" s="24">
        <f>D33-'Vision patrimoine'!$H$22</f>
        <v>236577.55000000034</v>
      </c>
      <c r="E34" s="24" t="e">
        <f>E33-'Vision patrimoine'!#REF!</f>
        <v>#REF!</v>
      </c>
      <c r="F34" s="24">
        <f>F33-'Vision patrimoine'!$H$23</f>
        <v>78480.729999999909</v>
      </c>
      <c r="G34" s="24">
        <f>G33-'Vision patrimoine'!$H$24</f>
        <v>60696</v>
      </c>
      <c r="H34" s="24">
        <f>H33-'Vision patrimoine'!$H$25</f>
        <v>32953.179999999935</v>
      </c>
    </row>
    <row r="35" spans="2:8" x14ac:dyDescent="0.2">
      <c r="B35" s="15" t="s">
        <v>36</v>
      </c>
      <c r="C35" s="32">
        <v>2025</v>
      </c>
      <c r="D35" s="24">
        <f>D34-'Vision patrimoine'!$H$22</f>
        <v>233267.50000000035</v>
      </c>
      <c r="E35" s="24" t="e">
        <f>E34-'Vision patrimoine'!#REF!</f>
        <v>#REF!</v>
      </c>
      <c r="F35" s="24">
        <f>F34-'Vision patrimoine'!$H$23</f>
        <v>77626.179999999906</v>
      </c>
      <c r="G35" s="24">
        <f>G34-'Vision patrimoine'!$H$24</f>
        <v>60168</v>
      </c>
      <c r="H35" s="24">
        <f>H34-'Vision patrimoine'!$H$25</f>
        <v>32665.739999999936</v>
      </c>
    </row>
    <row r="36" spans="2:8" x14ac:dyDescent="0.2">
      <c r="B36" s="15" t="s">
        <v>37</v>
      </c>
      <c r="C36" s="32">
        <v>2025</v>
      </c>
      <c r="D36" s="24">
        <f>D35-'Vision patrimoine'!$H$22</f>
        <v>229957.45000000036</v>
      </c>
      <c r="E36" s="24" t="e">
        <f>E35-'Vision patrimoine'!#REF!</f>
        <v>#REF!</v>
      </c>
      <c r="F36" s="24">
        <f>F35-'Vision patrimoine'!$H$23</f>
        <v>76771.629999999903</v>
      </c>
      <c r="G36" s="24">
        <f>G35-'Vision patrimoine'!$H$24</f>
        <v>59640</v>
      </c>
      <c r="H36" s="24">
        <f>H35-'Vision patrimoine'!$H$25</f>
        <v>32378.299999999937</v>
      </c>
    </row>
    <row r="37" spans="2:8" x14ac:dyDescent="0.2">
      <c r="B37" s="15" t="s">
        <v>38</v>
      </c>
      <c r="C37" s="32">
        <v>2025</v>
      </c>
      <c r="D37" s="24">
        <f>D36-'Vision patrimoine'!$H$22</f>
        <v>226647.40000000037</v>
      </c>
      <c r="E37" s="24" t="e">
        <f>E36-'Vision patrimoine'!#REF!</f>
        <v>#REF!</v>
      </c>
      <c r="F37" s="24">
        <f>F36-'Vision patrimoine'!$H$23</f>
        <v>75917.0799999999</v>
      </c>
      <c r="G37" s="24">
        <f>G36-'Vision patrimoine'!$H$24</f>
        <v>59112</v>
      </c>
      <c r="H37" s="24">
        <f>H36-'Vision patrimoine'!$H$25</f>
        <v>32090.859999999939</v>
      </c>
    </row>
    <row r="38" spans="2:8" x14ac:dyDescent="0.2">
      <c r="B38" s="15" t="s">
        <v>39</v>
      </c>
      <c r="C38" s="32">
        <v>2025</v>
      </c>
      <c r="D38" s="24">
        <f>D37-'Vision patrimoine'!$H$22</f>
        <v>223337.35000000038</v>
      </c>
      <c r="E38" s="24" t="e">
        <f>E37-'Vision patrimoine'!#REF!</f>
        <v>#REF!</v>
      </c>
      <c r="F38" s="24">
        <f>F37-'Vision patrimoine'!$H$23</f>
        <v>75062.529999999897</v>
      </c>
      <c r="G38" s="24">
        <f>G37-'Vision patrimoine'!$H$24</f>
        <v>58584</v>
      </c>
      <c r="H38" s="24">
        <f>H37-'Vision patrimoine'!$H$25</f>
        <v>31803.41999999994</v>
      </c>
    </row>
    <row r="39" spans="2:8" x14ac:dyDescent="0.2">
      <c r="B39" s="15" t="s">
        <v>40</v>
      </c>
      <c r="C39" s="32">
        <v>2025</v>
      </c>
      <c r="D39" s="24">
        <f>D38-'Vision patrimoine'!$H$22</f>
        <v>220027.3000000004</v>
      </c>
      <c r="E39" s="24" t="e">
        <f>E38-'Vision patrimoine'!#REF!</f>
        <v>#REF!</v>
      </c>
      <c r="F39" s="24">
        <f>F38-'Vision patrimoine'!$H$23</f>
        <v>74207.979999999894</v>
      </c>
      <c r="G39" s="24">
        <f>G38-'Vision patrimoine'!$H$24</f>
        <v>58056</v>
      </c>
      <c r="H39" s="24">
        <f>H38-'Vision patrimoine'!$H$25</f>
        <v>31515.979999999941</v>
      </c>
    </row>
    <row r="40" spans="2:8" x14ac:dyDescent="0.2">
      <c r="B40" s="15" t="s">
        <v>41</v>
      </c>
      <c r="C40" s="32">
        <v>2025</v>
      </c>
      <c r="D40" s="24">
        <f>D39-'Vision patrimoine'!$H$22</f>
        <v>216717.25000000041</v>
      </c>
      <c r="E40" s="24" t="e">
        <f>E39-'Vision patrimoine'!#REF!</f>
        <v>#REF!</v>
      </c>
      <c r="F40" s="24">
        <f>F39-'Vision patrimoine'!$H$23</f>
        <v>73353.429999999891</v>
      </c>
      <c r="G40" s="24">
        <f>G39-'Vision patrimoine'!$H$24</f>
        <v>57528</v>
      </c>
      <c r="H40" s="24">
        <f>H39-'Vision patrimoine'!$H$25</f>
        <v>31228.539999999943</v>
      </c>
    </row>
    <row r="41" spans="2:8" x14ac:dyDescent="0.2">
      <c r="B41" s="15" t="s">
        <v>30</v>
      </c>
      <c r="C41" s="32">
        <v>2025</v>
      </c>
      <c r="D41" s="24">
        <f>D40-'Vision patrimoine'!$H$22</f>
        <v>213407.20000000042</v>
      </c>
      <c r="E41" s="24" t="e">
        <f>E40-'Vision patrimoine'!#REF!</f>
        <v>#REF!</v>
      </c>
      <c r="F41" s="24">
        <f>F40-'Vision patrimoine'!$H$23</f>
        <v>72498.879999999888</v>
      </c>
      <c r="G41" s="24">
        <f>G40-'Vision patrimoine'!$H$24</f>
        <v>57000</v>
      </c>
      <c r="H41" s="24">
        <f>H40-'Vision patrimoine'!$H$25</f>
        <v>30941.099999999944</v>
      </c>
    </row>
    <row r="42" spans="2:8" x14ac:dyDescent="0.2">
      <c r="B42" s="15" t="s">
        <v>31</v>
      </c>
      <c r="C42" s="32">
        <v>2025</v>
      </c>
      <c r="D42" s="24">
        <f>D41-'Vision patrimoine'!$H$22</f>
        <v>210097.15000000043</v>
      </c>
      <c r="E42" s="24" t="e">
        <f>E41-'Vision patrimoine'!#REF!</f>
        <v>#REF!</v>
      </c>
      <c r="F42" s="24">
        <f>F41-'Vision patrimoine'!$H$23</f>
        <v>71644.329999999885</v>
      </c>
      <c r="G42" s="24">
        <f>G41-'Vision patrimoine'!$H$24</f>
        <v>56472</v>
      </c>
      <c r="H42" s="24">
        <f>H41-'Vision patrimoine'!$H$25</f>
        <v>30653.659999999945</v>
      </c>
    </row>
    <row r="43" spans="2:8" x14ac:dyDescent="0.2">
      <c r="B43" s="15" t="s">
        <v>32</v>
      </c>
      <c r="C43" s="32">
        <v>2026</v>
      </c>
      <c r="D43" s="24">
        <f>D42-'Vision patrimoine'!$H$22</f>
        <v>206787.10000000044</v>
      </c>
      <c r="E43" s="24" t="e">
        <f>E42-'Vision patrimoine'!#REF!</f>
        <v>#REF!</v>
      </c>
      <c r="F43" s="24">
        <f>F42-'Vision patrimoine'!$H$23</f>
        <v>70789.779999999882</v>
      </c>
      <c r="G43" s="24">
        <f>G42-'Vision patrimoine'!$H$24</f>
        <v>55944</v>
      </c>
      <c r="H43" s="24">
        <f>H42-'Vision patrimoine'!$H$25</f>
        <v>30366.219999999947</v>
      </c>
    </row>
    <row r="44" spans="2:8" x14ac:dyDescent="0.2">
      <c r="B44" s="15" t="s">
        <v>33</v>
      </c>
      <c r="C44" s="32">
        <v>2026</v>
      </c>
      <c r="D44" s="24">
        <f>D43-'Vision patrimoine'!$H$22</f>
        <v>203477.05000000045</v>
      </c>
      <c r="E44" s="24" t="e">
        <f>E43-'Vision patrimoine'!#REF!</f>
        <v>#REF!</v>
      </c>
      <c r="F44" s="24">
        <f>F43-'Vision patrimoine'!$H$23</f>
        <v>69935.22999999988</v>
      </c>
      <c r="G44" s="24">
        <f>G43-'Vision patrimoine'!$H$24</f>
        <v>55416</v>
      </c>
      <c r="H44" s="24">
        <f>H43-'Vision patrimoine'!$H$25</f>
        <v>30078.779999999948</v>
      </c>
    </row>
    <row r="45" spans="2:8" x14ac:dyDescent="0.2">
      <c r="B45" s="15" t="s">
        <v>34</v>
      </c>
      <c r="C45" s="32">
        <v>2026</v>
      </c>
      <c r="D45" s="24">
        <f>D44-'Vision patrimoine'!$H$22</f>
        <v>200167.00000000047</v>
      </c>
      <c r="E45" s="24" t="e">
        <f>E44-'Vision patrimoine'!#REF!</f>
        <v>#REF!</v>
      </c>
      <c r="F45" s="24">
        <f>F44-'Vision patrimoine'!$H$23</f>
        <v>69080.679999999877</v>
      </c>
      <c r="G45" s="24">
        <f>G44-'Vision patrimoine'!$H$24</f>
        <v>54888</v>
      </c>
      <c r="H45" s="24">
        <f>H44-'Vision patrimoine'!$H$25</f>
        <v>29791.339999999949</v>
      </c>
    </row>
    <row r="46" spans="2:8" x14ac:dyDescent="0.2">
      <c r="B46" s="15" t="s">
        <v>35</v>
      </c>
      <c r="C46" s="32">
        <v>2026</v>
      </c>
      <c r="D46" s="24">
        <f>D45-'Vision patrimoine'!$H$22</f>
        <v>196856.95000000048</v>
      </c>
      <c r="E46" s="24" t="e">
        <f>E45-'Vision patrimoine'!#REF!</f>
        <v>#REF!</v>
      </c>
      <c r="F46" s="24">
        <f>F45-'Vision patrimoine'!$H$23</f>
        <v>68226.129999999874</v>
      </c>
      <c r="G46" s="24">
        <f>G45-'Vision patrimoine'!$H$24</f>
        <v>54360</v>
      </c>
      <c r="H46" s="24">
        <f>H45-'Vision patrimoine'!$H$25</f>
        <v>29503.899999999951</v>
      </c>
    </row>
    <row r="47" spans="2:8" x14ac:dyDescent="0.2">
      <c r="B47" s="15" t="s">
        <v>36</v>
      </c>
      <c r="C47" s="32">
        <v>2026</v>
      </c>
      <c r="D47" s="24">
        <f>D46-'Vision patrimoine'!$H$22</f>
        <v>193546.90000000049</v>
      </c>
      <c r="E47" s="24" t="e">
        <f>E46-'Vision patrimoine'!#REF!</f>
        <v>#REF!</v>
      </c>
      <c r="F47" s="24">
        <f>F46-'Vision patrimoine'!$H$23</f>
        <v>67371.579999999871</v>
      </c>
      <c r="G47" s="24">
        <f>G46-'Vision patrimoine'!$H$24</f>
        <v>53832</v>
      </c>
      <c r="H47" s="24">
        <f>H46-'Vision patrimoine'!$H$25</f>
        <v>29216.459999999952</v>
      </c>
    </row>
    <row r="48" spans="2:8" x14ac:dyDescent="0.2">
      <c r="B48" s="15" t="s">
        <v>37</v>
      </c>
      <c r="C48" s="32">
        <v>2026</v>
      </c>
      <c r="D48" s="24">
        <f>D47-'Vision patrimoine'!$H$22</f>
        <v>190236.8500000005</v>
      </c>
      <c r="E48" s="24" t="e">
        <f>E47-'Vision patrimoine'!#REF!</f>
        <v>#REF!</v>
      </c>
      <c r="F48" s="24">
        <f>F47-'Vision patrimoine'!$H$23</f>
        <v>66517.029999999868</v>
      </c>
      <c r="G48" s="24">
        <f>G47-'Vision patrimoine'!$H$24</f>
        <v>53304</v>
      </c>
      <c r="H48" s="24">
        <f>H47-'Vision patrimoine'!$H$25</f>
        <v>28929.019999999953</v>
      </c>
    </row>
    <row r="49" spans="2:8" x14ac:dyDescent="0.2">
      <c r="B49" s="15" t="s">
        <v>38</v>
      </c>
      <c r="C49" s="32">
        <v>2026</v>
      </c>
      <c r="D49" s="24">
        <f>D48-'Vision patrimoine'!$H$22</f>
        <v>186926.80000000051</v>
      </c>
      <c r="E49" s="24" t="e">
        <f>E48-'Vision patrimoine'!#REF!</f>
        <v>#REF!</v>
      </c>
      <c r="F49" s="24">
        <f>F48-'Vision patrimoine'!$H$23</f>
        <v>65662.479999999865</v>
      </c>
      <c r="G49" s="24">
        <f>G48-'Vision patrimoine'!$H$24</f>
        <v>52776</v>
      </c>
      <c r="H49" s="24">
        <f>H48-'Vision patrimoine'!$H$25</f>
        <v>28641.579999999954</v>
      </c>
    </row>
    <row r="50" spans="2:8" x14ac:dyDescent="0.2">
      <c r="B50" s="15" t="s">
        <v>39</v>
      </c>
      <c r="C50" s="32">
        <v>2026</v>
      </c>
      <c r="D50" s="24">
        <f>D49-'Vision patrimoine'!$H$22</f>
        <v>183616.75000000052</v>
      </c>
      <c r="E50" s="24" t="e">
        <f>E49-'Vision patrimoine'!#REF!</f>
        <v>#REF!</v>
      </c>
      <c r="F50" s="24">
        <f>F49-'Vision patrimoine'!$H$23</f>
        <v>64807.929999999862</v>
      </c>
      <c r="G50" s="24">
        <f>G49-'Vision patrimoine'!$H$24</f>
        <v>52248</v>
      </c>
      <c r="H50" s="24">
        <f>H49-'Vision patrimoine'!$H$25</f>
        <v>28354.139999999956</v>
      </c>
    </row>
    <row r="51" spans="2:8" x14ac:dyDescent="0.2">
      <c r="B51" s="15" t="s">
        <v>40</v>
      </c>
      <c r="C51" s="32">
        <v>2026</v>
      </c>
      <c r="D51" s="24">
        <f>D50-'Vision patrimoine'!$H$22</f>
        <v>180306.70000000054</v>
      </c>
      <c r="E51" s="24" t="e">
        <f>E50-'Vision patrimoine'!#REF!</f>
        <v>#REF!</v>
      </c>
      <c r="F51" s="24">
        <f>F50-'Vision patrimoine'!$H$23</f>
        <v>63953.379999999859</v>
      </c>
      <c r="G51" s="24">
        <f>G50-'Vision patrimoine'!$H$24</f>
        <v>51720</v>
      </c>
      <c r="H51" s="24">
        <f>H50-'Vision patrimoine'!$H$25</f>
        <v>28066.699999999957</v>
      </c>
    </row>
    <row r="52" spans="2:8" x14ac:dyDescent="0.2">
      <c r="B52" s="15" t="s">
        <v>41</v>
      </c>
      <c r="C52" s="32">
        <v>2026</v>
      </c>
      <c r="D52" s="24">
        <f>D51-'Vision patrimoine'!$H$22</f>
        <v>176996.65000000055</v>
      </c>
      <c r="E52" s="24" t="e">
        <f>E51-'Vision patrimoine'!#REF!</f>
        <v>#REF!</v>
      </c>
      <c r="F52" s="24">
        <f>F51-'Vision patrimoine'!$H$23</f>
        <v>63098.829999999856</v>
      </c>
      <c r="G52" s="24">
        <f>G51-'Vision patrimoine'!$H$24</f>
        <v>51192</v>
      </c>
      <c r="H52" s="24">
        <f>H51-'Vision patrimoine'!$H$25</f>
        <v>27779.259999999958</v>
      </c>
    </row>
    <row r="53" spans="2:8" x14ac:dyDescent="0.2">
      <c r="B53" s="15" t="s">
        <v>30</v>
      </c>
      <c r="C53" s="32">
        <v>2026</v>
      </c>
      <c r="D53" s="24">
        <f>D52-'Vision patrimoine'!$H$22</f>
        <v>173686.60000000056</v>
      </c>
      <c r="E53" s="24" t="e">
        <f>E52-'Vision patrimoine'!#REF!</f>
        <v>#REF!</v>
      </c>
      <c r="F53" s="24">
        <f>F52-'Vision patrimoine'!$H$23</f>
        <v>62244.279999999853</v>
      </c>
      <c r="G53" s="24">
        <f>G52-'Vision patrimoine'!$H$24</f>
        <v>50664</v>
      </c>
      <c r="H53" s="24">
        <f>H52-'Vision patrimoine'!$H$25</f>
        <v>27491.81999999996</v>
      </c>
    </row>
    <row r="54" spans="2:8" x14ac:dyDescent="0.2">
      <c r="B54" s="15" t="s">
        <v>31</v>
      </c>
      <c r="C54" s="32">
        <v>2026</v>
      </c>
      <c r="D54" s="24">
        <f>D53-'Vision patrimoine'!$H$22</f>
        <v>170376.55000000057</v>
      </c>
      <c r="E54" s="24" t="e">
        <f>E53-'Vision patrimoine'!#REF!</f>
        <v>#REF!</v>
      </c>
      <c r="F54" s="24">
        <f>F53-'Vision patrimoine'!$H$23</f>
        <v>61389.72999999985</v>
      </c>
      <c r="G54" s="24">
        <f>G53-'Vision patrimoine'!$H$24</f>
        <v>50136</v>
      </c>
      <c r="H54" s="24">
        <f>H53-'Vision patrimoine'!$H$25</f>
        <v>27204.379999999961</v>
      </c>
    </row>
    <row r="55" spans="2:8" x14ac:dyDescent="0.2">
      <c r="B55" s="15" t="s">
        <v>32</v>
      </c>
      <c r="C55" s="32">
        <v>2027</v>
      </c>
      <c r="D55" s="24">
        <f>D54-'Vision patrimoine'!$H$22</f>
        <v>167066.50000000058</v>
      </c>
      <c r="E55" s="24" t="e">
        <f>E54-'Vision patrimoine'!#REF!</f>
        <v>#REF!</v>
      </c>
      <c r="F55" s="24">
        <f>F54-'Vision patrimoine'!$H$23</f>
        <v>60535.179999999847</v>
      </c>
      <c r="G55" s="24">
        <f>G54-'Vision patrimoine'!$H$24</f>
        <v>49608</v>
      </c>
      <c r="H55" s="24">
        <f>H54-'Vision patrimoine'!$H$25</f>
        <v>26916.939999999962</v>
      </c>
    </row>
    <row r="56" spans="2:8" x14ac:dyDescent="0.2">
      <c r="B56" s="15" t="s">
        <v>33</v>
      </c>
      <c r="C56" s="32">
        <v>2027</v>
      </c>
      <c r="D56" s="24">
        <f>D55-'Vision patrimoine'!$H$22</f>
        <v>163756.45000000059</v>
      </c>
      <c r="E56" s="24" t="e">
        <f>E55-'Vision patrimoine'!#REF!</f>
        <v>#REF!</v>
      </c>
      <c r="F56" s="24">
        <f>F55-'Vision patrimoine'!$H$23</f>
        <v>59680.629999999845</v>
      </c>
      <c r="G56" s="24">
        <f>G55-'Vision patrimoine'!$H$24</f>
        <v>49080</v>
      </c>
      <c r="H56" s="24">
        <f>H55-'Vision patrimoine'!$H$25</f>
        <v>26629.499999999964</v>
      </c>
    </row>
    <row r="57" spans="2:8" x14ac:dyDescent="0.2">
      <c r="B57" s="15" t="s">
        <v>34</v>
      </c>
      <c r="C57" s="32">
        <v>2027</v>
      </c>
      <c r="D57" s="24">
        <f>D56-'Vision patrimoine'!$H$22</f>
        <v>160446.40000000061</v>
      </c>
      <c r="E57" s="24" t="e">
        <f>E56-'Vision patrimoine'!#REF!</f>
        <v>#REF!</v>
      </c>
      <c r="F57" s="24">
        <f>F56-'Vision patrimoine'!$H$23</f>
        <v>58826.079999999842</v>
      </c>
      <c r="G57" s="24">
        <f>G56-'Vision patrimoine'!$H$24</f>
        <v>48552</v>
      </c>
      <c r="H57" s="24">
        <f>H56-'Vision patrimoine'!$H$25</f>
        <v>26342.059999999965</v>
      </c>
    </row>
    <row r="58" spans="2:8" x14ac:dyDescent="0.2">
      <c r="B58" s="15" t="s">
        <v>35</v>
      </c>
      <c r="C58" s="32">
        <v>2027</v>
      </c>
      <c r="D58" s="24">
        <f>D57-'Vision patrimoine'!$H$22</f>
        <v>157136.35000000062</v>
      </c>
      <c r="E58" s="24" t="e">
        <f>E57-'Vision patrimoine'!#REF!</f>
        <v>#REF!</v>
      </c>
      <c r="F58" s="24">
        <f>F57-'Vision patrimoine'!$H$23</f>
        <v>57971.529999999839</v>
      </c>
      <c r="G58" s="24">
        <f>G57-'Vision patrimoine'!$H$24</f>
        <v>48024</v>
      </c>
      <c r="H58" s="24">
        <f>H57-'Vision patrimoine'!$H$25</f>
        <v>26054.619999999966</v>
      </c>
    </row>
    <row r="59" spans="2:8" x14ac:dyDescent="0.2">
      <c r="B59" s="15" t="s">
        <v>36</v>
      </c>
      <c r="C59" s="32">
        <v>2027</v>
      </c>
      <c r="D59" s="24">
        <f>D58-'Vision patrimoine'!$H$22</f>
        <v>153826.30000000063</v>
      </c>
      <c r="E59" s="24" t="e">
        <f>E58-'Vision patrimoine'!#REF!</f>
        <v>#REF!</v>
      </c>
      <c r="F59" s="24">
        <f>F58-'Vision patrimoine'!$H$23</f>
        <v>57116.979999999836</v>
      </c>
      <c r="G59" s="24">
        <f>G58-'Vision patrimoine'!$H$24</f>
        <v>47496</v>
      </c>
      <c r="H59" s="24">
        <f>H58-'Vision patrimoine'!$H$25</f>
        <v>25767.179999999968</v>
      </c>
    </row>
    <row r="60" spans="2:8" x14ac:dyDescent="0.2">
      <c r="B60" s="15" t="s">
        <v>37</v>
      </c>
      <c r="C60" s="32">
        <v>2027</v>
      </c>
      <c r="D60" s="24">
        <f>D59-'Vision patrimoine'!$H$22</f>
        <v>150516.25000000064</v>
      </c>
      <c r="E60" s="24" t="e">
        <f>E59-'Vision patrimoine'!#REF!</f>
        <v>#REF!</v>
      </c>
      <c r="F60" s="24">
        <f>F59-'Vision patrimoine'!$H$23</f>
        <v>56262.429999999833</v>
      </c>
      <c r="G60" s="24">
        <f>G59-'Vision patrimoine'!$H$24</f>
        <v>46968</v>
      </c>
      <c r="H60" s="24">
        <f>H59-'Vision patrimoine'!$H$25</f>
        <v>25479.739999999969</v>
      </c>
    </row>
    <row r="61" spans="2:8" x14ac:dyDescent="0.2">
      <c r="B61" s="15" t="s">
        <v>38</v>
      </c>
      <c r="C61" s="32">
        <v>2027</v>
      </c>
      <c r="D61" s="24">
        <f>D60-'Vision patrimoine'!$H$22</f>
        <v>147206.20000000065</v>
      </c>
      <c r="E61" s="24" t="e">
        <f>E60-'Vision patrimoine'!#REF!</f>
        <v>#REF!</v>
      </c>
      <c r="F61" s="24">
        <f>F60-'Vision patrimoine'!$H$23</f>
        <v>55407.87999999983</v>
      </c>
      <c r="G61" s="24">
        <f>G60-'Vision patrimoine'!$H$24</f>
        <v>46440</v>
      </c>
      <c r="H61" s="24">
        <f>H60-'Vision patrimoine'!$H$25</f>
        <v>25192.29999999997</v>
      </c>
    </row>
    <row r="62" spans="2:8" x14ac:dyDescent="0.2">
      <c r="B62" s="15" t="s">
        <v>39</v>
      </c>
      <c r="C62" s="32">
        <v>2027</v>
      </c>
      <c r="D62" s="24">
        <f>D61-'Vision patrimoine'!$H$22</f>
        <v>143896.15000000066</v>
      </c>
      <c r="E62" s="24" t="e">
        <f>E61-'Vision patrimoine'!#REF!</f>
        <v>#REF!</v>
      </c>
      <c r="F62" s="24">
        <f>F61-'Vision patrimoine'!$H$23</f>
        <v>54553.329999999827</v>
      </c>
      <c r="G62" s="24">
        <f>G61-'Vision patrimoine'!$H$24</f>
        <v>45912</v>
      </c>
      <c r="H62" s="24">
        <f>H61-'Vision patrimoine'!$H$25</f>
        <v>24904.859999999971</v>
      </c>
    </row>
    <row r="63" spans="2:8" x14ac:dyDescent="0.2">
      <c r="B63" s="15" t="s">
        <v>40</v>
      </c>
      <c r="C63" s="32">
        <v>2027</v>
      </c>
      <c r="D63" s="24">
        <f>D62-'Vision patrimoine'!$H$22</f>
        <v>140586.10000000068</v>
      </c>
      <c r="E63" s="24" t="e">
        <f>E62-'Vision patrimoine'!#REF!</f>
        <v>#REF!</v>
      </c>
      <c r="F63" s="24">
        <f>F62-'Vision patrimoine'!$H$23</f>
        <v>53698.779999999824</v>
      </c>
      <c r="G63" s="24">
        <f>G62-'Vision patrimoine'!$H$24</f>
        <v>45384</v>
      </c>
      <c r="H63" s="24">
        <f>H62-'Vision patrimoine'!$H$25</f>
        <v>24617.419999999973</v>
      </c>
    </row>
    <row r="64" spans="2:8" x14ac:dyDescent="0.2">
      <c r="B64" s="15" t="s">
        <v>41</v>
      </c>
      <c r="C64" s="32">
        <v>2027</v>
      </c>
      <c r="D64" s="24">
        <f>D63-'Vision patrimoine'!$H$22</f>
        <v>137276.05000000069</v>
      </c>
      <c r="E64" s="24" t="e">
        <f>E63-'Vision patrimoine'!#REF!</f>
        <v>#REF!</v>
      </c>
      <c r="F64" s="24">
        <f>F63-'Vision patrimoine'!$H$23</f>
        <v>52844.229999999821</v>
      </c>
      <c r="G64" s="24">
        <f>G63-'Vision patrimoine'!$H$24</f>
        <v>44856</v>
      </c>
      <c r="H64" s="24">
        <f>H63-'Vision patrimoine'!$H$25</f>
        <v>24329.979999999974</v>
      </c>
    </row>
    <row r="65" spans="2:8" x14ac:dyDescent="0.2">
      <c r="B65" s="15" t="s">
        <v>30</v>
      </c>
      <c r="C65" s="32">
        <v>2027</v>
      </c>
      <c r="D65" s="24">
        <f>D64-'Vision patrimoine'!$H$22</f>
        <v>133966.0000000007</v>
      </c>
      <c r="E65" s="24" t="e">
        <f>E64-'Vision patrimoine'!#REF!</f>
        <v>#REF!</v>
      </c>
      <c r="F65" s="24">
        <f>F64-'Vision patrimoine'!$H$23</f>
        <v>51989.679999999818</v>
      </c>
      <c r="G65" s="24">
        <f>G64-'Vision patrimoine'!$H$24</f>
        <v>44328</v>
      </c>
      <c r="H65" s="24">
        <f>H64-'Vision patrimoine'!$H$25</f>
        <v>24042.539999999975</v>
      </c>
    </row>
    <row r="66" spans="2:8" x14ac:dyDescent="0.2">
      <c r="B66" s="15" t="s">
        <v>31</v>
      </c>
      <c r="C66" s="32">
        <v>2027</v>
      </c>
      <c r="D66" s="24">
        <f>D65-'Vision patrimoine'!$H$22</f>
        <v>130655.9500000007</v>
      </c>
      <c r="E66" s="24" t="e">
        <f>E65-'Vision patrimoine'!#REF!</f>
        <v>#REF!</v>
      </c>
      <c r="F66" s="24">
        <f>F65-'Vision patrimoine'!$H$23</f>
        <v>51135.129999999815</v>
      </c>
      <c r="G66" s="24">
        <f>G65-'Vision patrimoine'!$H$24</f>
        <v>43800</v>
      </c>
      <c r="H66" s="24">
        <f>H65-'Vision patrimoine'!$H$25</f>
        <v>23755.099999999977</v>
      </c>
    </row>
    <row r="67" spans="2:8" x14ac:dyDescent="0.2">
      <c r="B67" s="15" t="s">
        <v>32</v>
      </c>
      <c r="C67" s="32">
        <v>2028</v>
      </c>
      <c r="D67" s="24">
        <f>D66-'Vision patrimoine'!$H$22</f>
        <v>127345.90000000069</v>
      </c>
      <c r="E67" s="24" t="e">
        <f>E66-'Vision patrimoine'!#REF!</f>
        <v>#REF!</v>
      </c>
      <c r="F67" s="24">
        <f>F66-'Vision patrimoine'!$H$23</f>
        <v>50280.579999999813</v>
      </c>
      <c r="G67" s="24">
        <f>G66-'Vision patrimoine'!$H$24</f>
        <v>43272</v>
      </c>
      <c r="H67" s="24">
        <f>H66-'Vision patrimoine'!$H$25</f>
        <v>23467.659999999978</v>
      </c>
    </row>
    <row r="68" spans="2:8" x14ac:dyDescent="0.2">
      <c r="B68" s="15" t="s">
        <v>33</v>
      </c>
      <c r="C68" s="32">
        <v>2028</v>
      </c>
      <c r="D68" s="24">
        <f>D67-'Vision patrimoine'!$H$22</f>
        <v>124035.85000000069</v>
      </c>
      <c r="E68" s="24" t="e">
        <f>E67-'Vision patrimoine'!#REF!</f>
        <v>#REF!</v>
      </c>
      <c r="F68" s="24">
        <f>F67-'Vision patrimoine'!$H$23</f>
        <v>49426.02999999981</v>
      </c>
      <c r="G68" s="24">
        <f>G67-'Vision patrimoine'!$H$24</f>
        <v>42744</v>
      </c>
      <c r="H68" s="24">
        <f>H67-'Vision patrimoine'!$H$25</f>
        <v>23180.219999999979</v>
      </c>
    </row>
    <row r="69" spans="2:8" x14ac:dyDescent="0.2">
      <c r="B69" s="15" t="s">
        <v>34</v>
      </c>
      <c r="C69" s="32">
        <v>2028</v>
      </c>
      <c r="D69" s="24">
        <f>D68-'Vision patrimoine'!$H$22</f>
        <v>120725.80000000069</v>
      </c>
      <c r="E69" s="24" t="e">
        <f>E68-'Vision patrimoine'!#REF!</f>
        <v>#REF!</v>
      </c>
      <c r="F69" s="24">
        <f>F68-'Vision patrimoine'!$H$23</f>
        <v>48571.479999999807</v>
      </c>
      <c r="G69" s="24">
        <f>G68-'Vision patrimoine'!$H$24</f>
        <v>42216</v>
      </c>
      <c r="H69" s="24">
        <f>H68-'Vision patrimoine'!$H$25</f>
        <v>22892.779999999981</v>
      </c>
    </row>
    <row r="70" spans="2:8" x14ac:dyDescent="0.2">
      <c r="B70" s="15" t="s">
        <v>35</v>
      </c>
      <c r="C70" s="32">
        <v>2028</v>
      </c>
      <c r="D70" s="24">
        <f>D69-'Vision patrimoine'!$H$22</f>
        <v>117415.75000000068</v>
      </c>
      <c r="E70" s="24" t="e">
        <f>E69-'Vision patrimoine'!#REF!</f>
        <v>#REF!</v>
      </c>
      <c r="F70" s="24">
        <f>F69-'Vision patrimoine'!$H$23</f>
        <v>47716.929999999804</v>
      </c>
      <c r="G70" s="24">
        <f>G69-'Vision patrimoine'!$H$24</f>
        <v>41688</v>
      </c>
      <c r="H70" s="24">
        <f>H69-'Vision patrimoine'!$H$25</f>
        <v>22605.339999999982</v>
      </c>
    </row>
    <row r="71" spans="2:8" x14ac:dyDescent="0.2">
      <c r="B71" s="15" t="s">
        <v>36</v>
      </c>
      <c r="C71" s="32">
        <v>2028</v>
      </c>
      <c r="D71" s="24">
        <f>D70-'Vision patrimoine'!$H$22</f>
        <v>114105.70000000068</v>
      </c>
      <c r="E71" s="24" t="e">
        <f>E70-'Vision patrimoine'!#REF!</f>
        <v>#REF!</v>
      </c>
      <c r="F71" s="24">
        <f>F70-'Vision patrimoine'!$H$23</f>
        <v>46862.379999999801</v>
      </c>
      <c r="G71" s="24">
        <f>G70-'Vision patrimoine'!$H$24</f>
        <v>41160</v>
      </c>
      <c r="H71" s="24">
        <f>H70-'Vision patrimoine'!$H$25</f>
        <v>22317.899999999983</v>
      </c>
    </row>
    <row r="72" spans="2:8" x14ac:dyDescent="0.2">
      <c r="B72" s="15" t="s">
        <v>37</v>
      </c>
      <c r="C72" s="32">
        <v>2028</v>
      </c>
      <c r="D72" s="24">
        <f>D71-'Vision patrimoine'!$H$22</f>
        <v>110795.65000000068</v>
      </c>
      <c r="E72" s="24" t="e">
        <f>E71-'Vision patrimoine'!#REF!</f>
        <v>#REF!</v>
      </c>
      <c r="F72" s="24">
        <f>F71-'Vision patrimoine'!$H$23</f>
        <v>46007.829999999798</v>
      </c>
      <c r="G72" s="24">
        <f>G71-'Vision patrimoine'!$H$24</f>
        <v>40632</v>
      </c>
      <c r="H72" s="24">
        <f>H71-'Vision patrimoine'!$H$25</f>
        <v>22030.459999999985</v>
      </c>
    </row>
    <row r="73" spans="2:8" x14ac:dyDescent="0.2">
      <c r="B73" s="15" t="s">
        <v>38</v>
      </c>
      <c r="C73" s="32">
        <v>2028</v>
      </c>
      <c r="D73" s="24">
        <f>D72-'Vision patrimoine'!$H$22</f>
        <v>107485.60000000068</v>
      </c>
      <c r="E73" s="24" t="e">
        <f>E72-'Vision patrimoine'!#REF!</f>
        <v>#REF!</v>
      </c>
      <c r="F73" s="24">
        <f>F72-'Vision patrimoine'!$H$23</f>
        <v>45153.279999999795</v>
      </c>
      <c r="G73" s="24">
        <f>G72-'Vision patrimoine'!$H$24</f>
        <v>40104</v>
      </c>
      <c r="H73" s="24">
        <f>H72-'Vision patrimoine'!$H$25</f>
        <v>21743.019999999986</v>
      </c>
    </row>
    <row r="74" spans="2:8" x14ac:dyDescent="0.2">
      <c r="B74" s="15" t="s">
        <v>39</v>
      </c>
      <c r="C74" s="32">
        <v>2028</v>
      </c>
      <c r="D74" s="24">
        <f>D73-'Vision patrimoine'!$H$22</f>
        <v>104175.55000000067</v>
      </c>
      <c r="E74" s="24" t="e">
        <f>E73-'Vision patrimoine'!#REF!</f>
        <v>#REF!</v>
      </c>
      <c r="F74" s="24">
        <f>F73-'Vision patrimoine'!$H$23</f>
        <v>44298.729999999792</v>
      </c>
      <c r="G74" s="24">
        <f>G73-'Vision patrimoine'!$H$24</f>
        <v>39576</v>
      </c>
      <c r="H74" s="24">
        <f>H73-'Vision patrimoine'!$H$25</f>
        <v>21455.579999999987</v>
      </c>
    </row>
    <row r="75" spans="2:8" x14ac:dyDescent="0.2">
      <c r="B75" s="15" t="s">
        <v>40</v>
      </c>
      <c r="C75" s="32">
        <v>2028</v>
      </c>
      <c r="D75" s="24">
        <f>D74-'Vision patrimoine'!$H$22</f>
        <v>100865.50000000067</v>
      </c>
      <c r="E75" s="24" t="e">
        <f>E74-'Vision patrimoine'!#REF!</f>
        <v>#REF!</v>
      </c>
      <c r="F75" s="24">
        <f>F74-'Vision patrimoine'!$H$23</f>
        <v>43444.179999999789</v>
      </c>
      <c r="G75" s="24">
        <f>G74-'Vision patrimoine'!$H$24</f>
        <v>39048</v>
      </c>
      <c r="H75" s="24">
        <f>H74-'Vision patrimoine'!$H$25</f>
        <v>21168.139999999989</v>
      </c>
    </row>
    <row r="76" spans="2:8" x14ac:dyDescent="0.2">
      <c r="B76" s="15" t="s">
        <v>41</v>
      </c>
      <c r="C76" s="32">
        <v>2028</v>
      </c>
      <c r="D76" s="24">
        <f>D75-'Vision patrimoine'!$H$22</f>
        <v>97555.450000000666</v>
      </c>
      <c r="E76" s="24" t="e">
        <f>E75-'Vision patrimoine'!#REF!</f>
        <v>#REF!</v>
      </c>
      <c r="F76" s="24">
        <f>F75-'Vision patrimoine'!$H$23</f>
        <v>42589.629999999786</v>
      </c>
      <c r="G76" s="24">
        <f>G75-'Vision patrimoine'!$H$24</f>
        <v>38520</v>
      </c>
      <c r="H76" s="24">
        <f>H75-'Vision patrimoine'!$H$25</f>
        <v>20880.69999999999</v>
      </c>
    </row>
    <row r="77" spans="2:8" x14ac:dyDescent="0.2">
      <c r="B77" s="15" t="s">
        <v>30</v>
      </c>
      <c r="C77" s="32">
        <v>2028</v>
      </c>
      <c r="D77" s="24">
        <f>D76-'Vision patrimoine'!$H$22</f>
        <v>94245.400000000664</v>
      </c>
      <c r="E77" s="24" t="e">
        <f>E76-'Vision patrimoine'!#REF!</f>
        <v>#REF!</v>
      </c>
      <c r="F77" s="24">
        <f>F76-'Vision patrimoine'!$H$23</f>
        <v>41735.079999999783</v>
      </c>
      <c r="G77" s="24">
        <f>G76-'Vision patrimoine'!$H$24</f>
        <v>37992</v>
      </c>
      <c r="H77" s="24">
        <f>H76-'Vision patrimoine'!$H$25</f>
        <v>20593.259999999991</v>
      </c>
    </row>
    <row r="78" spans="2:8" x14ac:dyDescent="0.2">
      <c r="B78" s="15" t="s">
        <v>31</v>
      </c>
      <c r="C78" s="32">
        <v>2028</v>
      </c>
      <c r="D78" s="24">
        <f>D77-'Vision patrimoine'!$H$22</f>
        <v>90935.350000000661</v>
      </c>
      <c r="E78" s="24" t="e">
        <f>E77-'Vision patrimoine'!#REF!</f>
        <v>#REF!</v>
      </c>
      <c r="F78" s="24">
        <f>F77-'Vision patrimoine'!$H$23</f>
        <v>40880.529999999781</v>
      </c>
      <c r="G78" s="24">
        <f>G77-'Vision patrimoine'!$H$24</f>
        <v>37464</v>
      </c>
      <c r="H78" s="24">
        <f>H77-'Vision patrimoine'!$H$25</f>
        <v>20305.819999999992</v>
      </c>
    </row>
    <row r="79" spans="2:8" x14ac:dyDescent="0.2">
      <c r="B79" s="15" t="s">
        <v>32</v>
      </c>
      <c r="C79" s="32">
        <v>2029</v>
      </c>
      <c r="D79" s="24">
        <f>D78-'Vision patrimoine'!$H$22</f>
        <v>87625.300000000658</v>
      </c>
      <c r="E79" s="24" t="e">
        <f>E78-'Vision patrimoine'!#REF!</f>
        <v>#REF!</v>
      </c>
      <c r="F79" s="24">
        <f>F78-'Vision patrimoine'!$H$23</f>
        <v>40025.979999999778</v>
      </c>
      <c r="G79" s="24">
        <f>G78-'Vision patrimoine'!$H$24</f>
        <v>36936</v>
      </c>
      <c r="H79" s="24">
        <f>H78-'Vision patrimoine'!$H$25</f>
        <v>20018.379999999994</v>
      </c>
    </row>
    <row r="80" spans="2:8" x14ac:dyDescent="0.2">
      <c r="B80" s="15" t="s">
        <v>33</v>
      </c>
      <c r="C80" s="32">
        <v>2029</v>
      </c>
      <c r="D80" s="24">
        <f>D79-'Vision patrimoine'!$H$22</f>
        <v>84315.250000000655</v>
      </c>
      <c r="E80" s="24" t="e">
        <f>E79-'Vision patrimoine'!#REF!</f>
        <v>#REF!</v>
      </c>
      <c r="F80" s="24">
        <f>F79-'Vision patrimoine'!$H$23</f>
        <v>39171.429999999775</v>
      </c>
      <c r="G80" s="24">
        <f>G79-'Vision patrimoine'!$H$24</f>
        <v>36408</v>
      </c>
      <c r="H80" s="24">
        <f>H79-'Vision patrimoine'!$H$25</f>
        <v>19730.939999999995</v>
      </c>
    </row>
    <row r="81" spans="2:8" x14ac:dyDescent="0.2">
      <c r="B81" s="15" t="s">
        <v>34</v>
      </c>
      <c r="C81" s="32">
        <v>2029</v>
      </c>
      <c r="D81" s="24">
        <f>D80-'Vision patrimoine'!$H$22</f>
        <v>81005.200000000652</v>
      </c>
      <c r="E81" s="24" t="e">
        <f>E80-'Vision patrimoine'!#REF!</f>
        <v>#REF!</v>
      </c>
      <c r="F81" s="24">
        <f>F80-'Vision patrimoine'!$H$23</f>
        <v>38316.879999999772</v>
      </c>
      <c r="G81" s="24">
        <f>G80-'Vision patrimoine'!$H$24</f>
        <v>35880</v>
      </c>
      <c r="H81" s="24">
        <f>H80-'Vision patrimoine'!$H$25</f>
        <v>19443.499999999996</v>
      </c>
    </row>
    <row r="82" spans="2:8" x14ac:dyDescent="0.2">
      <c r="B82" s="15" t="s">
        <v>35</v>
      </c>
      <c r="C82" s="32">
        <v>2029</v>
      </c>
      <c r="D82" s="24">
        <f>D81-'Vision patrimoine'!$H$22</f>
        <v>77695.150000000649</v>
      </c>
      <c r="E82" s="24" t="e">
        <f>E81-'Vision patrimoine'!#REF!</f>
        <v>#REF!</v>
      </c>
      <c r="F82" s="24">
        <f>F81-'Vision patrimoine'!$H$23</f>
        <v>37462.329999999769</v>
      </c>
      <c r="G82" s="24">
        <f>G81-'Vision patrimoine'!$H$24</f>
        <v>35352</v>
      </c>
      <c r="H82" s="24">
        <f>H81-'Vision patrimoine'!$H$25</f>
        <v>19156.059999999998</v>
      </c>
    </row>
    <row r="83" spans="2:8" x14ac:dyDescent="0.2">
      <c r="B83" s="15" t="s">
        <v>36</v>
      </c>
      <c r="C83" s="32">
        <v>2029</v>
      </c>
      <c r="D83" s="24">
        <f>D82-'Vision patrimoine'!$H$22</f>
        <v>74385.100000000646</v>
      </c>
      <c r="E83" s="24" t="e">
        <f>E82-'Vision patrimoine'!#REF!</f>
        <v>#REF!</v>
      </c>
      <c r="F83" s="24">
        <f>F82-'Vision patrimoine'!$H$23</f>
        <v>36607.779999999766</v>
      </c>
      <c r="G83" s="24">
        <f>G82-'Vision patrimoine'!$H$24</f>
        <v>34824</v>
      </c>
      <c r="H83" s="24">
        <f>H82-'Vision patrimoine'!$H$25</f>
        <v>18868.62</v>
      </c>
    </row>
    <row r="84" spans="2:8" x14ac:dyDescent="0.2">
      <c r="B84" s="15" t="s">
        <v>37</v>
      </c>
      <c r="C84" s="32">
        <v>2029</v>
      </c>
      <c r="D84" s="24">
        <f>D83-'Vision patrimoine'!$H$22</f>
        <v>71075.050000000643</v>
      </c>
      <c r="E84" s="24" t="e">
        <f>E83-'Vision patrimoine'!#REF!</f>
        <v>#REF!</v>
      </c>
      <c r="F84" s="24">
        <f>F83-'Vision patrimoine'!$H$23</f>
        <v>35753.229999999763</v>
      </c>
      <c r="G84" s="24">
        <f>G83-'Vision patrimoine'!$H$24</f>
        <v>34296</v>
      </c>
      <c r="H84" s="24">
        <f>H83-'Vision patrimoine'!$H$25</f>
        <v>18581.18</v>
      </c>
    </row>
    <row r="85" spans="2:8" x14ac:dyDescent="0.2">
      <c r="B85" s="15" t="s">
        <v>38</v>
      </c>
      <c r="C85" s="32">
        <v>2029</v>
      </c>
      <c r="D85" s="24">
        <f>D84-'Vision patrimoine'!$H$22</f>
        <v>67765.00000000064</v>
      </c>
      <c r="E85" s="24" t="e">
        <f>E84-'Vision patrimoine'!#REF!</f>
        <v>#REF!</v>
      </c>
      <c r="F85" s="24">
        <f>F84-'Vision patrimoine'!$H$23</f>
        <v>34898.67999999976</v>
      </c>
      <c r="G85" s="24">
        <f>G84-'Vision patrimoine'!$H$24</f>
        <v>33768</v>
      </c>
      <c r="H85" s="24">
        <f>H84-'Vision patrimoine'!$H$25</f>
        <v>18293.740000000002</v>
      </c>
    </row>
    <row r="86" spans="2:8" x14ac:dyDescent="0.2">
      <c r="B86" s="15" t="s">
        <v>39</v>
      </c>
      <c r="C86" s="32">
        <v>2029</v>
      </c>
      <c r="D86" s="24">
        <f>D85-'Vision patrimoine'!$H$22</f>
        <v>64454.950000000637</v>
      </c>
      <c r="E86" s="24" t="e">
        <f>E85-'Vision patrimoine'!#REF!</f>
        <v>#REF!</v>
      </c>
      <c r="F86" s="24">
        <f>F85-'Vision patrimoine'!$H$23</f>
        <v>34044.129999999757</v>
      </c>
      <c r="G86" s="24">
        <f>G85-'Vision patrimoine'!$H$24</f>
        <v>33240</v>
      </c>
      <c r="H86" s="24">
        <f>H85-'Vision patrimoine'!$H$25</f>
        <v>18006.300000000003</v>
      </c>
    </row>
    <row r="87" spans="2:8" x14ac:dyDescent="0.2">
      <c r="B87" s="15" t="s">
        <v>40</v>
      </c>
      <c r="C87" s="32">
        <v>2029</v>
      </c>
      <c r="D87" s="24">
        <f>D86-'Vision patrimoine'!$H$22</f>
        <v>61144.900000000634</v>
      </c>
      <c r="E87" s="24" t="e">
        <f>E86-'Vision patrimoine'!#REF!</f>
        <v>#REF!</v>
      </c>
      <c r="F87" s="24">
        <f>F86-'Vision patrimoine'!$H$23</f>
        <v>33189.579999999754</v>
      </c>
      <c r="G87" s="24">
        <f>G86-'Vision patrimoine'!$H$24</f>
        <v>32712</v>
      </c>
      <c r="H87" s="24">
        <f>H86-'Vision patrimoine'!$H$25</f>
        <v>17718.860000000004</v>
      </c>
    </row>
    <row r="88" spans="2:8" x14ac:dyDescent="0.2">
      <c r="B88" s="15" t="s">
        <v>41</v>
      </c>
      <c r="C88" s="32">
        <v>2029</v>
      </c>
      <c r="D88" s="24">
        <f>D87-'Vision patrimoine'!$H$22</f>
        <v>57834.850000000632</v>
      </c>
      <c r="E88" s="24" t="e">
        <f>E87-'Vision patrimoine'!#REF!</f>
        <v>#REF!</v>
      </c>
      <c r="F88" s="24">
        <f>F87-'Vision patrimoine'!$H$23</f>
        <v>32335.029999999755</v>
      </c>
      <c r="G88" s="24">
        <f>G87-'Vision patrimoine'!$H$24</f>
        <v>32184</v>
      </c>
      <c r="H88" s="24">
        <f>H87-'Vision patrimoine'!$H$25</f>
        <v>17431.420000000006</v>
      </c>
    </row>
    <row r="89" spans="2:8" x14ac:dyDescent="0.2">
      <c r="B89" s="15" t="s">
        <v>30</v>
      </c>
      <c r="C89" s="32">
        <v>2029</v>
      </c>
      <c r="D89" s="24">
        <f>D88-'Vision patrimoine'!$H$22</f>
        <v>54524.800000000629</v>
      </c>
      <c r="E89" s="24" t="e">
        <f>E88-'Vision patrimoine'!#REF!</f>
        <v>#REF!</v>
      </c>
      <c r="F89" s="24">
        <f>F88-'Vision patrimoine'!$H$23</f>
        <v>31480.479999999756</v>
      </c>
      <c r="G89" s="24">
        <f>G88-'Vision patrimoine'!$H$24</f>
        <v>31656</v>
      </c>
      <c r="H89" s="24">
        <f>H88-'Vision patrimoine'!$H$25</f>
        <v>17143.980000000007</v>
      </c>
    </row>
    <row r="90" spans="2:8" x14ac:dyDescent="0.2">
      <c r="B90" s="15" t="s">
        <v>31</v>
      </c>
      <c r="C90" s="32">
        <v>2029</v>
      </c>
      <c r="D90" s="24">
        <f>D89-'Vision patrimoine'!$H$22</f>
        <v>51214.750000000626</v>
      </c>
      <c r="E90" s="24" t="e">
        <f>E89-'Vision patrimoine'!#REF!</f>
        <v>#REF!</v>
      </c>
      <c r="F90" s="24">
        <f>F89-'Vision patrimoine'!$H$23</f>
        <v>30625.929999999757</v>
      </c>
      <c r="G90" s="24">
        <f>G89-'Vision patrimoine'!$H$24</f>
        <v>31128</v>
      </c>
      <c r="H90" s="24">
        <f>H89-'Vision patrimoine'!$H$25</f>
        <v>16856.540000000008</v>
      </c>
    </row>
    <row r="91" spans="2:8" x14ac:dyDescent="0.2">
      <c r="B91" s="15" t="s">
        <v>32</v>
      </c>
      <c r="C91" s="32">
        <v>2030</v>
      </c>
      <c r="D91" s="24">
        <f>D90-'Vision patrimoine'!$H$22</f>
        <v>47904.700000000623</v>
      </c>
      <c r="E91" s="24" t="e">
        <f>E90-'Vision patrimoine'!#REF!</f>
        <v>#REF!</v>
      </c>
      <c r="F91" s="24">
        <f>F90-'Vision patrimoine'!$H$23</f>
        <v>29771.379999999757</v>
      </c>
      <c r="G91" s="24">
        <f>G90-'Vision patrimoine'!$H$24</f>
        <v>30600</v>
      </c>
      <c r="H91" s="24">
        <f>H90-'Vision patrimoine'!$H$25</f>
        <v>16569.100000000009</v>
      </c>
    </row>
    <row r="92" spans="2:8" x14ac:dyDescent="0.2">
      <c r="B92" s="15" t="s">
        <v>33</v>
      </c>
      <c r="C92" s="32">
        <v>2030</v>
      </c>
      <c r="D92" s="24">
        <f>D91-'Vision patrimoine'!$H$22</f>
        <v>44594.65000000062</v>
      </c>
      <c r="E92" s="24" t="e">
        <f>E91-'Vision patrimoine'!#REF!</f>
        <v>#REF!</v>
      </c>
      <c r="F92" s="24">
        <f>F91-'Vision patrimoine'!$H$23</f>
        <v>28916.829999999758</v>
      </c>
      <c r="G92" s="24">
        <f>G91-'Vision patrimoine'!$H$24</f>
        <v>30072</v>
      </c>
      <c r="H92" s="24">
        <f>H91-'Vision patrimoine'!$H$25</f>
        <v>16281.660000000009</v>
      </c>
    </row>
    <row r="93" spans="2:8" x14ac:dyDescent="0.2">
      <c r="B93" s="15" t="s">
        <v>34</v>
      </c>
      <c r="C93" s="32">
        <v>2030</v>
      </c>
      <c r="D93" s="24">
        <f>D92-'Vision patrimoine'!$H$22</f>
        <v>41284.600000000617</v>
      </c>
      <c r="E93" s="24" t="e">
        <f>E92-'Vision patrimoine'!#REF!</f>
        <v>#REF!</v>
      </c>
      <c r="F93" s="24">
        <f>F92-'Vision patrimoine'!$H$23</f>
        <v>28062.279999999759</v>
      </c>
      <c r="G93" s="24">
        <f>G92-'Vision patrimoine'!$H$24</f>
        <v>29544</v>
      </c>
      <c r="H93" s="24">
        <f>H92-'Vision patrimoine'!$H$25</f>
        <v>15994.220000000008</v>
      </c>
    </row>
    <row r="94" spans="2:8" x14ac:dyDescent="0.2">
      <c r="B94" s="15" t="s">
        <v>35</v>
      </c>
      <c r="C94" s="32">
        <v>2030</v>
      </c>
      <c r="D94" s="24">
        <f>D93-'Vision patrimoine'!$H$22</f>
        <v>37974.550000000614</v>
      </c>
      <c r="E94" s="24" t="e">
        <f>E93-'Vision patrimoine'!#REF!</f>
        <v>#REF!</v>
      </c>
      <c r="F94" s="24">
        <f>F93-'Vision patrimoine'!$H$23</f>
        <v>27207.729999999759</v>
      </c>
      <c r="G94" s="24">
        <f>G93-'Vision patrimoine'!$H$24</f>
        <v>29016</v>
      </c>
      <c r="H94" s="24">
        <f>H93-'Vision patrimoine'!$H$25</f>
        <v>15706.780000000008</v>
      </c>
    </row>
    <row r="95" spans="2:8" x14ac:dyDescent="0.2">
      <c r="B95" s="15" t="s">
        <v>36</v>
      </c>
      <c r="C95" s="32">
        <v>2030</v>
      </c>
      <c r="D95" s="24">
        <f>D94-'Vision patrimoine'!$H$22</f>
        <v>34664.500000000611</v>
      </c>
      <c r="E95" s="24" t="e">
        <f>E94-'Vision patrimoine'!#REF!</f>
        <v>#REF!</v>
      </c>
      <c r="F95" s="24">
        <f>F94-'Vision patrimoine'!$H$23</f>
        <v>26353.17999999976</v>
      </c>
      <c r="G95" s="24">
        <f>G94-'Vision patrimoine'!$H$24</f>
        <v>28488</v>
      </c>
      <c r="H95" s="24">
        <f>H94-'Vision patrimoine'!$H$25</f>
        <v>15419.340000000007</v>
      </c>
    </row>
    <row r="96" spans="2:8" x14ac:dyDescent="0.2">
      <c r="B96" s="15" t="s">
        <v>37</v>
      </c>
      <c r="C96" s="32">
        <v>2030</v>
      </c>
      <c r="D96" s="24">
        <f>D95-'Vision patrimoine'!$H$22</f>
        <v>31354.450000000612</v>
      </c>
      <c r="E96" s="24" t="e">
        <f>E95-'Vision patrimoine'!#REF!</f>
        <v>#REF!</v>
      </c>
      <c r="F96" s="24">
        <f>F95-'Vision patrimoine'!$H$23</f>
        <v>25498.629999999761</v>
      </c>
      <c r="G96" s="24">
        <f>G95-'Vision patrimoine'!$H$24</f>
        <v>27960</v>
      </c>
      <c r="H96" s="24">
        <f>H95-'Vision patrimoine'!$H$25</f>
        <v>15131.900000000007</v>
      </c>
    </row>
    <row r="97" spans="2:8" x14ac:dyDescent="0.2">
      <c r="B97" s="15" t="s">
        <v>38</v>
      </c>
      <c r="C97" s="32">
        <v>2030</v>
      </c>
      <c r="D97" s="24">
        <f>D96-'Vision patrimoine'!$H$22</f>
        <v>28044.400000000613</v>
      </c>
      <c r="E97" s="24" t="e">
        <f>E96-'Vision patrimoine'!#REF!</f>
        <v>#REF!</v>
      </c>
      <c r="F97" s="24">
        <f>F96-'Vision patrimoine'!$H$23</f>
        <v>24644.079999999762</v>
      </c>
      <c r="G97" s="24">
        <f>G96-'Vision patrimoine'!$H$24</f>
        <v>27432</v>
      </c>
      <c r="H97" s="24">
        <f>H96-'Vision patrimoine'!$H$25</f>
        <v>14844.460000000006</v>
      </c>
    </row>
    <row r="98" spans="2:8" x14ac:dyDescent="0.2">
      <c r="B98" s="15" t="s">
        <v>39</v>
      </c>
      <c r="C98" s="32">
        <v>2030</v>
      </c>
      <c r="D98" s="24">
        <f>D97-'Vision patrimoine'!$H$22</f>
        <v>24734.350000000613</v>
      </c>
      <c r="E98" s="24" t="e">
        <f>E97-'Vision patrimoine'!#REF!</f>
        <v>#REF!</v>
      </c>
      <c r="F98" s="24">
        <f>F97-'Vision patrimoine'!$H$23</f>
        <v>23789.529999999762</v>
      </c>
      <c r="G98" s="24">
        <f>G97-'Vision patrimoine'!$H$24</f>
        <v>26904</v>
      </c>
      <c r="H98" s="24">
        <f>H97-'Vision patrimoine'!$H$25</f>
        <v>14557.020000000006</v>
      </c>
    </row>
    <row r="99" spans="2:8" x14ac:dyDescent="0.2">
      <c r="B99" s="15" t="s">
        <v>40</v>
      </c>
      <c r="C99" s="32">
        <v>2030</v>
      </c>
      <c r="D99" s="24">
        <f>D98-'Vision patrimoine'!$H$22</f>
        <v>21424.300000000614</v>
      </c>
      <c r="E99" s="24" t="e">
        <f>E98-'Vision patrimoine'!#REF!</f>
        <v>#REF!</v>
      </c>
      <c r="F99" s="24">
        <f>F98-'Vision patrimoine'!$H$23</f>
        <v>22934.979999999763</v>
      </c>
      <c r="G99" s="24">
        <f>G98-'Vision patrimoine'!$H$24</f>
        <v>26376</v>
      </c>
      <c r="H99" s="24">
        <f>H98-'Vision patrimoine'!$H$25</f>
        <v>14269.580000000005</v>
      </c>
    </row>
    <row r="100" spans="2:8" x14ac:dyDescent="0.2">
      <c r="B100" s="15" t="s">
        <v>41</v>
      </c>
      <c r="C100" s="32">
        <v>2030</v>
      </c>
      <c r="D100" s="24">
        <f>D99-'Vision patrimoine'!$H$22</f>
        <v>18114.250000000615</v>
      </c>
      <c r="E100" s="24" t="e">
        <f>E99-'Vision patrimoine'!#REF!</f>
        <v>#REF!</v>
      </c>
      <c r="F100" s="24">
        <f>F99-'Vision patrimoine'!$H$23</f>
        <v>22080.429999999764</v>
      </c>
      <c r="G100" s="24">
        <f>G99-'Vision patrimoine'!$H$24</f>
        <v>25848</v>
      </c>
      <c r="H100" s="24">
        <f>H99-'Vision patrimoine'!$H$25</f>
        <v>13982.140000000005</v>
      </c>
    </row>
    <row r="101" spans="2:8" x14ac:dyDescent="0.2">
      <c r="B101" s="15" t="s">
        <v>30</v>
      </c>
      <c r="C101" s="32">
        <v>2030</v>
      </c>
      <c r="D101" s="24">
        <f>D100-'Vision patrimoine'!$H$22</f>
        <v>14804.200000000616</v>
      </c>
      <c r="E101" s="24" t="e">
        <f>E100-'Vision patrimoine'!#REF!</f>
        <v>#REF!</v>
      </c>
      <c r="F101" s="24">
        <f>F100-'Vision patrimoine'!$H$23</f>
        <v>21225.879999999765</v>
      </c>
      <c r="G101" s="24">
        <f>G100-'Vision patrimoine'!$H$24</f>
        <v>25320</v>
      </c>
      <c r="H101" s="24">
        <f>H100-'Vision patrimoine'!$H$25</f>
        <v>13694.700000000004</v>
      </c>
    </row>
    <row r="102" spans="2:8" x14ac:dyDescent="0.2">
      <c r="B102" s="15" t="s">
        <v>31</v>
      </c>
      <c r="C102" s="32">
        <v>2030</v>
      </c>
      <c r="D102" s="24">
        <f>D101-'Vision patrimoine'!$H$22</f>
        <v>11494.150000000616</v>
      </c>
      <c r="E102" s="24" t="e">
        <f>E101-'Vision patrimoine'!#REF!</f>
        <v>#REF!</v>
      </c>
      <c r="F102" s="24">
        <f>F101-'Vision patrimoine'!$H$23</f>
        <v>20371.329999999765</v>
      </c>
      <c r="G102" s="24">
        <f>G101-'Vision patrimoine'!$H$24</f>
        <v>24792</v>
      </c>
      <c r="H102" s="24">
        <f>H101-'Vision patrimoine'!$H$25</f>
        <v>13407.260000000004</v>
      </c>
    </row>
    <row r="103" spans="2:8" x14ac:dyDescent="0.2">
      <c r="B103" s="15" t="s">
        <v>32</v>
      </c>
      <c r="C103" s="32">
        <v>2031</v>
      </c>
      <c r="D103" s="24">
        <f>D102-'Vision patrimoine'!$H$22</f>
        <v>8184.1000000006161</v>
      </c>
      <c r="E103" s="24" t="e">
        <f>E102-'Vision patrimoine'!#REF!</f>
        <v>#REF!</v>
      </c>
      <c r="F103" s="24">
        <f>F102-'Vision patrimoine'!$H$23</f>
        <v>19516.779999999766</v>
      </c>
      <c r="G103" s="24">
        <f>G102-'Vision patrimoine'!$H$24</f>
        <v>24264</v>
      </c>
      <c r="H103" s="24">
        <f>H102-'Vision patrimoine'!$H$25</f>
        <v>13119.820000000003</v>
      </c>
    </row>
    <row r="104" spans="2:8" x14ac:dyDescent="0.2">
      <c r="B104" s="15" t="s">
        <v>33</v>
      </c>
      <c r="C104" s="32">
        <v>2031</v>
      </c>
      <c r="D104" s="1"/>
      <c r="E104" s="24" t="e">
        <f>E103-'Vision patrimoine'!#REF!</f>
        <v>#REF!</v>
      </c>
      <c r="F104" s="24">
        <f>F103-'Vision patrimoine'!$H$23</f>
        <v>18662.229999999767</v>
      </c>
      <c r="G104" s="24">
        <f>G103-'Vision patrimoine'!$H$24</f>
        <v>23736</v>
      </c>
      <c r="H104" s="24">
        <f>H103-'Vision patrimoine'!$H$25</f>
        <v>12832.380000000003</v>
      </c>
    </row>
    <row r="105" spans="2:8" x14ac:dyDescent="0.2">
      <c r="B105" s="15" t="s">
        <v>34</v>
      </c>
      <c r="C105" s="32">
        <v>2031</v>
      </c>
      <c r="D105" s="1"/>
      <c r="E105" s="24" t="e">
        <f>E104-'Vision patrimoine'!#REF!</f>
        <v>#REF!</v>
      </c>
      <c r="F105" s="24">
        <f>F104-'Vision patrimoine'!$H$23</f>
        <v>17807.679999999767</v>
      </c>
      <c r="G105" s="24">
        <f>G104-'Vision patrimoine'!$H$24</f>
        <v>23208</v>
      </c>
      <c r="H105" s="24">
        <f>H104-'Vision patrimoine'!$H$25</f>
        <v>12544.940000000002</v>
      </c>
    </row>
    <row r="106" spans="2:8" x14ac:dyDescent="0.2">
      <c r="B106" s="15" t="s">
        <v>35</v>
      </c>
      <c r="C106" s="32">
        <v>2031</v>
      </c>
      <c r="D106" s="1"/>
      <c r="E106" s="24" t="e">
        <f>E105-'Vision patrimoine'!#REF!</f>
        <v>#REF!</v>
      </c>
      <c r="F106" s="24">
        <f>F105-'Vision patrimoine'!$H$23</f>
        <v>16953.129999999768</v>
      </c>
      <c r="G106" s="24">
        <f>G105-'Vision patrimoine'!$H$24</f>
        <v>22680</v>
      </c>
      <c r="H106" s="24">
        <f>H105-'Vision patrimoine'!$H$25</f>
        <v>12257.500000000002</v>
      </c>
    </row>
    <row r="107" spans="2:8" x14ac:dyDescent="0.2">
      <c r="B107" s="15" t="s">
        <v>36</v>
      </c>
      <c r="C107" s="32">
        <v>2031</v>
      </c>
      <c r="D107" s="1"/>
      <c r="E107" s="24" t="e">
        <f>E106-'Vision patrimoine'!#REF!</f>
        <v>#REF!</v>
      </c>
      <c r="F107" s="24">
        <f>F106-'Vision patrimoine'!$H$23</f>
        <v>16098.579999999769</v>
      </c>
      <c r="G107" s="24">
        <f>G106-'Vision patrimoine'!$H$24</f>
        <v>22152</v>
      </c>
      <c r="H107" s="24">
        <f>H106-'Vision patrimoine'!$H$25</f>
        <v>11970.060000000001</v>
      </c>
    </row>
    <row r="108" spans="2:8" x14ac:dyDescent="0.2">
      <c r="B108" s="15" t="s">
        <v>37</v>
      </c>
      <c r="C108" s="32">
        <v>2031</v>
      </c>
      <c r="D108" s="1"/>
      <c r="E108" s="24" t="e">
        <f>E107-'Vision patrimoine'!#REF!</f>
        <v>#REF!</v>
      </c>
      <c r="F108" s="24">
        <f>F107-'Vision patrimoine'!$H$23</f>
        <v>15244.02999999977</v>
      </c>
      <c r="G108" s="24">
        <f>G107-'Vision patrimoine'!$H$24</f>
        <v>21624</v>
      </c>
      <c r="H108" s="24">
        <f>H107-'Vision patrimoine'!$H$25</f>
        <v>11682.62</v>
      </c>
    </row>
    <row r="109" spans="2:8" x14ac:dyDescent="0.2">
      <c r="B109" s="15" t="s">
        <v>38</v>
      </c>
      <c r="C109" s="32">
        <v>2031</v>
      </c>
      <c r="D109" s="1"/>
      <c r="E109" s="24" t="e">
        <f>E108-'Vision patrimoine'!#REF!</f>
        <v>#REF!</v>
      </c>
      <c r="F109" s="24">
        <f>F108-'Vision patrimoine'!$H$23</f>
        <v>14389.47999999977</v>
      </c>
      <c r="G109" s="24">
        <f>G108-'Vision patrimoine'!$H$24</f>
        <v>21096</v>
      </c>
      <c r="H109" s="24">
        <f>H108-'Vision patrimoine'!$H$25</f>
        <v>11395.18</v>
      </c>
    </row>
    <row r="110" spans="2:8" x14ac:dyDescent="0.2">
      <c r="B110" s="15" t="s">
        <v>39</v>
      </c>
      <c r="C110" s="32">
        <v>2031</v>
      </c>
      <c r="D110" s="1"/>
      <c r="E110" s="24" t="e">
        <f>E109-'Vision patrimoine'!#REF!</f>
        <v>#REF!</v>
      </c>
      <c r="F110" s="24">
        <f>F109-'Vision patrimoine'!$H$23</f>
        <v>13534.929999999771</v>
      </c>
      <c r="G110" s="24">
        <f>G109-'Vision patrimoine'!$H$24</f>
        <v>20568</v>
      </c>
      <c r="H110" s="24">
        <f>H109-'Vision patrimoine'!$H$25</f>
        <v>11107.74</v>
      </c>
    </row>
    <row r="111" spans="2:8" x14ac:dyDescent="0.2">
      <c r="B111" s="15" t="s">
        <v>40</v>
      </c>
      <c r="C111" s="32">
        <v>2031</v>
      </c>
      <c r="D111" s="1"/>
      <c r="E111" s="24" t="e">
        <f>E110-'Vision patrimoine'!#REF!</f>
        <v>#REF!</v>
      </c>
      <c r="F111" s="24">
        <f>F110-'Vision patrimoine'!$H$23</f>
        <v>12680.379999999772</v>
      </c>
      <c r="G111" s="24">
        <f>G110-'Vision patrimoine'!$H$24</f>
        <v>20040</v>
      </c>
      <c r="H111" s="24">
        <f>H110-'Vision patrimoine'!$H$25</f>
        <v>10820.3</v>
      </c>
    </row>
    <row r="112" spans="2:8" x14ac:dyDescent="0.2">
      <c r="B112" s="15" t="s">
        <v>41</v>
      </c>
      <c r="C112" s="32">
        <v>2031</v>
      </c>
      <c r="D112" s="1"/>
      <c r="E112" s="24" t="e">
        <f>E111-'Vision patrimoine'!#REF!</f>
        <v>#REF!</v>
      </c>
      <c r="F112" s="24">
        <f>F111-'Vision patrimoine'!$H$23</f>
        <v>11825.829999999773</v>
      </c>
      <c r="G112" s="24">
        <f>G111-'Vision patrimoine'!$H$24</f>
        <v>19512</v>
      </c>
      <c r="H112" s="24">
        <f>H111-'Vision patrimoine'!$H$25</f>
        <v>10532.859999999999</v>
      </c>
    </row>
    <row r="113" spans="2:8" x14ac:dyDescent="0.2">
      <c r="B113" s="15" t="s">
        <v>30</v>
      </c>
      <c r="C113" s="32">
        <v>2031</v>
      </c>
      <c r="D113" s="1"/>
      <c r="E113" s="24" t="e">
        <f>E112-'Vision patrimoine'!#REF!</f>
        <v>#REF!</v>
      </c>
      <c r="F113" s="24">
        <f>F112-'Vision patrimoine'!$H$23</f>
        <v>10971.279999999773</v>
      </c>
      <c r="G113" s="24">
        <f>G112-'Vision patrimoine'!$H$24</f>
        <v>18984</v>
      </c>
      <c r="H113" s="24">
        <f>H112-'Vision patrimoine'!$H$25</f>
        <v>10245.419999999998</v>
      </c>
    </row>
    <row r="114" spans="2:8" x14ac:dyDescent="0.2">
      <c r="B114" s="15" t="s">
        <v>31</v>
      </c>
      <c r="C114" s="32">
        <v>2031</v>
      </c>
      <c r="D114" s="1"/>
      <c r="E114" s="24" t="e">
        <f>E113-'Vision patrimoine'!#REF!</f>
        <v>#REF!</v>
      </c>
      <c r="F114" s="24">
        <f>F113-'Vision patrimoine'!$H$23</f>
        <v>10116.729999999774</v>
      </c>
      <c r="G114" s="24">
        <f>G113-'Vision patrimoine'!$H$24</f>
        <v>18456</v>
      </c>
      <c r="H114" s="24">
        <f>H113-'Vision patrimoine'!$H$25</f>
        <v>9957.9799999999977</v>
      </c>
    </row>
    <row r="115" spans="2:8" x14ac:dyDescent="0.2">
      <c r="B115" s="15" t="s">
        <v>32</v>
      </c>
      <c r="C115" s="32">
        <v>2032</v>
      </c>
      <c r="D115" s="1"/>
      <c r="E115" s="24" t="e">
        <f>E114-'Vision patrimoine'!#REF!</f>
        <v>#REF!</v>
      </c>
      <c r="F115" s="24">
        <f>F114-'Vision patrimoine'!$H$23</f>
        <v>9262.1799999997747</v>
      </c>
      <c r="G115" s="24">
        <f>G114-'Vision patrimoine'!$H$24</f>
        <v>17928</v>
      </c>
      <c r="H115" s="24">
        <f>H114-'Vision patrimoine'!$H$25</f>
        <v>9670.5399999999972</v>
      </c>
    </row>
    <row r="116" spans="2:8" x14ac:dyDescent="0.2">
      <c r="B116" s="15" t="s">
        <v>33</v>
      </c>
      <c r="C116" s="32">
        <v>2032</v>
      </c>
      <c r="D116" s="1"/>
      <c r="E116" s="24" t="e">
        <f>E115-'Vision patrimoine'!#REF!</f>
        <v>#REF!</v>
      </c>
      <c r="F116" s="24">
        <f>F115-'Vision patrimoine'!$H$23</f>
        <v>8407.6299999997755</v>
      </c>
      <c r="G116" s="24">
        <f>G115-'Vision patrimoine'!$H$24</f>
        <v>17400</v>
      </c>
      <c r="H116" s="24">
        <f>H115-'Vision patrimoine'!$H$25</f>
        <v>9383.0999999999967</v>
      </c>
    </row>
    <row r="117" spans="2:8" x14ac:dyDescent="0.2">
      <c r="B117" s="15" t="s">
        <v>34</v>
      </c>
      <c r="C117" s="32">
        <v>2032</v>
      </c>
      <c r="D117" s="1"/>
      <c r="E117" s="24" t="e">
        <f>E116-'Vision patrimoine'!#REF!</f>
        <v>#REF!</v>
      </c>
      <c r="F117" s="24">
        <f>F116-'Vision patrimoine'!$H$23</f>
        <v>7553.0799999997753</v>
      </c>
      <c r="G117" s="24">
        <f>G116-'Vision patrimoine'!$H$24</f>
        <v>16872</v>
      </c>
      <c r="H117" s="24">
        <f>H116-'Vision patrimoine'!$H$25</f>
        <v>9095.6599999999962</v>
      </c>
    </row>
    <row r="118" spans="2:8" x14ac:dyDescent="0.2">
      <c r="B118" s="15" t="s">
        <v>35</v>
      </c>
      <c r="C118" s="32">
        <v>2032</v>
      </c>
      <c r="D118" s="1"/>
      <c r="E118" s="24" t="e">
        <f>E117-'Vision patrimoine'!#REF!</f>
        <v>#REF!</v>
      </c>
      <c r="F118" s="24">
        <f>F117-'Vision patrimoine'!$H$23</f>
        <v>6698.5299999997751</v>
      </c>
      <c r="G118" s="24">
        <f>G117-'Vision patrimoine'!$H$24</f>
        <v>16344</v>
      </c>
      <c r="H118" s="24">
        <f>H117-'Vision patrimoine'!$H$25</f>
        <v>8808.2199999999957</v>
      </c>
    </row>
    <row r="119" spans="2:8" x14ac:dyDescent="0.2">
      <c r="B119" s="15" t="s">
        <v>36</v>
      </c>
      <c r="C119" s="32">
        <v>2032</v>
      </c>
      <c r="D119" s="1"/>
      <c r="E119" s="24" t="e">
        <f>E118-'Vision patrimoine'!#REF!</f>
        <v>#REF!</v>
      </c>
      <c r="F119" s="24">
        <f>F118-'Vision patrimoine'!$H$23</f>
        <v>5843.9799999997749</v>
      </c>
      <c r="G119" s="24">
        <f>G118-'Vision patrimoine'!$H$24</f>
        <v>15816</v>
      </c>
      <c r="H119" s="24">
        <f>H118-'Vision patrimoine'!$H$25</f>
        <v>8520.7799999999952</v>
      </c>
    </row>
    <row r="120" spans="2:8" x14ac:dyDescent="0.2">
      <c r="B120" s="15" t="s">
        <v>37</v>
      </c>
      <c r="C120" s="32">
        <v>2032</v>
      </c>
      <c r="D120" s="1"/>
      <c r="E120" s="24" t="e">
        <f>E119-'Vision patrimoine'!#REF!</f>
        <v>#REF!</v>
      </c>
      <c r="F120" s="24">
        <f>F119-'Vision patrimoine'!$H$23</f>
        <v>4989.4299999997747</v>
      </c>
      <c r="G120" s="24">
        <f>G119-'Vision patrimoine'!$H$24</f>
        <v>15288</v>
      </c>
      <c r="H120" s="24">
        <f>H119-'Vision patrimoine'!$H$25</f>
        <v>8233.3399999999947</v>
      </c>
    </row>
    <row r="121" spans="2:8" x14ac:dyDescent="0.2">
      <c r="B121" s="15" t="s">
        <v>38</v>
      </c>
      <c r="C121" s="32">
        <v>2032</v>
      </c>
      <c r="D121" s="1"/>
      <c r="E121" s="24" t="e">
        <f>E120-'Vision patrimoine'!#REF!</f>
        <v>#REF!</v>
      </c>
      <c r="F121" s="24">
        <f>F120-'Vision patrimoine'!$H$23</f>
        <v>4134.8799999997746</v>
      </c>
      <c r="G121" s="24">
        <f>G120-'Vision patrimoine'!$H$24</f>
        <v>14760</v>
      </c>
      <c r="H121" s="24">
        <f>H120-'Vision patrimoine'!$H$25</f>
        <v>7945.8999999999951</v>
      </c>
    </row>
    <row r="122" spans="2:8" x14ac:dyDescent="0.2">
      <c r="B122" s="15" t="s">
        <v>39</v>
      </c>
      <c r="C122" s="32">
        <v>2032</v>
      </c>
      <c r="D122" s="1"/>
      <c r="E122" s="1"/>
      <c r="F122" s="24">
        <f>F121-'Vision patrimoine'!$H$23</f>
        <v>3280.3299999997744</v>
      </c>
      <c r="G122" s="24">
        <f>G121-'Vision patrimoine'!$H$24</f>
        <v>14232</v>
      </c>
      <c r="H122" s="24">
        <f>H121-'Vision patrimoine'!$H$25</f>
        <v>7658.4599999999955</v>
      </c>
    </row>
    <row r="123" spans="2:8" x14ac:dyDescent="0.2">
      <c r="B123" s="15" t="s">
        <v>40</v>
      </c>
      <c r="C123" s="32">
        <v>2032</v>
      </c>
      <c r="D123" s="1"/>
      <c r="E123" s="1"/>
      <c r="F123" s="1"/>
      <c r="G123" s="24">
        <f>G122-'Vision patrimoine'!$H$24</f>
        <v>13704</v>
      </c>
      <c r="H123" s="24">
        <f>H122-'Vision patrimoine'!$H$25</f>
        <v>7371.0199999999959</v>
      </c>
    </row>
    <row r="124" spans="2:8" x14ac:dyDescent="0.2">
      <c r="B124" s="15" t="s">
        <v>41</v>
      </c>
      <c r="C124" s="32">
        <v>2032</v>
      </c>
      <c r="D124" s="1"/>
      <c r="E124" s="1"/>
      <c r="F124" s="1"/>
      <c r="G124" s="24">
        <f>G123-'Vision patrimoine'!$H$24</f>
        <v>13176</v>
      </c>
      <c r="H124" s="24">
        <f>H123-'Vision patrimoine'!$H$25</f>
        <v>7083.5799999999963</v>
      </c>
    </row>
    <row r="125" spans="2:8" x14ac:dyDescent="0.2">
      <c r="B125" s="15" t="s">
        <v>30</v>
      </c>
      <c r="C125" s="32">
        <v>2032</v>
      </c>
      <c r="D125" s="1"/>
      <c r="E125" s="1"/>
      <c r="F125" s="1"/>
      <c r="G125" s="24">
        <f>G124-'Vision patrimoine'!$H$24</f>
        <v>12648</v>
      </c>
      <c r="H125" s="24">
        <f>H124-'Vision patrimoine'!$H$25</f>
        <v>6796.1399999999967</v>
      </c>
    </row>
    <row r="126" spans="2:8" x14ac:dyDescent="0.2">
      <c r="B126" s="15" t="s">
        <v>31</v>
      </c>
      <c r="C126" s="32">
        <v>2032</v>
      </c>
      <c r="D126" s="1"/>
      <c r="E126" s="1"/>
      <c r="F126" s="1"/>
      <c r="G126" s="24">
        <f>G125-'Vision patrimoine'!$H$24</f>
        <v>12120</v>
      </c>
      <c r="H126" s="24">
        <f>H125-'Vision patrimoine'!$H$25</f>
        <v>6508.6999999999971</v>
      </c>
    </row>
    <row r="127" spans="2:8" x14ac:dyDescent="0.2">
      <c r="B127" s="15" t="s">
        <v>32</v>
      </c>
      <c r="C127" s="32">
        <v>2033</v>
      </c>
      <c r="D127" s="1"/>
      <c r="E127" s="1"/>
      <c r="F127" s="1"/>
      <c r="G127" s="24">
        <f>G126-'Vision patrimoine'!$H$24</f>
        <v>11592</v>
      </c>
      <c r="H127" s="24">
        <f>H126-'Vision patrimoine'!$H$25</f>
        <v>6221.2599999999975</v>
      </c>
    </row>
    <row r="128" spans="2:8" x14ac:dyDescent="0.2">
      <c r="B128" s="15" t="s">
        <v>33</v>
      </c>
      <c r="C128" s="32">
        <v>2033</v>
      </c>
      <c r="D128" s="1"/>
      <c r="E128" s="1"/>
      <c r="F128" s="1"/>
      <c r="G128" s="24">
        <f>G127-'Vision patrimoine'!$H$24</f>
        <v>11064</v>
      </c>
      <c r="H128" s="24">
        <f>H127-'Vision patrimoine'!$H$25</f>
        <v>5933.8199999999979</v>
      </c>
    </row>
    <row r="129" spans="2:8" x14ac:dyDescent="0.2">
      <c r="B129" s="15" t="s">
        <v>34</v>
      </c>
      <c r="C129" s="32">
        <v>2033</v>
      </c>
      <c r="D129" s="1"/>
      <c r="E129" s="1"/>
      <c r="F129" s="1"/>
      <c r="G129" s="24">
        <f>G128-'Vision patrimoine'!$H$24</f>
        <v>10536</v>
      </c>
      <c r="H129" s="24">
        <f>H128-'Vision patrimoine'!$H$25</f>
        <v>5646.3799999999983</v>
      </c>
    </row>
    <row r="130" spans="2:8" x14ac:dyDescent="0.2">
      <c r="B130" s="15" t="s">
        <v>35</v>
      </c>
      <c r="C130" s="32">
        <v>2033</v>
      </c>
      <c r="D130" s="1"/>
      <c r="E130" s="1"/>
      <c r="F130" s="1"/>
      <c r="G130" s="24">
        <f>G129-'Vision patrimoine'!$H$24</f>
        <v>10008</v>
      </c>
      <c r="H130" s="24">
        <f>H129-'Vision patrimoine'!$H$25</f>
        <v>5358.9399999999987</v>
      </c>
    </row>
    <row r="131" spans="2:8" x14ac:dyDescent="0.2">
      <c r="B131" s="15" t="s">
        <v>36</v>
      </c>
      <c r="C131" s="32">
        <v>2033</v>
      </c>
      <c r="D131" s="1"/>
      <c r="E131" s="1"/>
      <c r="F131" s="1"/>
      <c r="G131" s="24">
        <f>G130-'Vision patrimoine'!$H$24</f>
        <v>9480</v>
      </c>
      <c r="H131" s="24">
        <f>H130-'Vision patrimoine'!$H$25</f>
        <v>5071.4999999999991</v>
      </c>
    </row>
    <row r="132" spans="2:8" x14ac:dyDescent="0.2">
      <c r="B132" s="15" t="s">
        <v>37</v>
      </c>
      <c r="C132" s="32">
        <v>2033</v>
      </c>
      <c r="D132" s="1"/>
      <c r="E132" s="1"/>
      <c r="F132" s="1"/>
      <c r="G132" s="24">
        <f>G131-'Vision patrimoine'!$H$24</f>
        <v>8952</v>
      </c>
      <c r="H132" s="24">
        <f>H131-'Vision patrimoine'!$H$25</f>
        <v>4784.0599999999995</v>
      </c>
    </row>
    <row r="133" spans="2:8" x14ac:dyDescent="0.2">
      <c r="B133" s="15" t="s">
        <v>38</v>
      </c>
      <c r="C133" s="32">
        <v>2033</v>
      </c>
      <c r="D133" s="1"/>
      <c r="E133" s="1"/>
      <c r="F133" s="1"/>
      <c r="G133" s="24">
        <f>G132-'Vision patrimoine'!$H$24</f>
        <v>8424</v>
      </c>
      <c r="H133" s="24">
        <f>H132-'Vision patrimoine'!$H$25</f>
        <v>4496.62</v>
      </c>
    </row>
    <row r="134" spans="2:8" x14ac:dyDescent="0.2">
      <c r="B134" s="15" t="s">
        <v>39</v>
      </c>
      <c r="C134" s="32">
        <v>2033</v>
      </c>
      <c r="D134" s="1"/>
      <c r="E134" s="1"/>
      <c r="F134" s="1"/>
      <c r="G134" s="24">
        <f>G133-'Vision patrimoine'!$H$24</f>
        <v>7896</v>
      </c>
      <c r="H134" s="24">
        <f>H133-'Vision patrimoine'!$H$25</f>
        <v>4209.18</v>
      </c>
    </row>
    <row r="135" spans="2:8" x14ac:dyDescent="0.2">
      <c r="B135" s="15" t="s">
        <v>40</v>
      </c>
      <c r="C135" s="32">
        <v>2033</v>
      </c>
      <c r="D135" s="1"/>
      <c r="E135" s="1"/>
      <c r="F135" s="1"/>
      <c r="G135" s="24">
        <f>G134-'Vision patrimoine'!$H$24</f>
        <v>7368</v>
      </c>
      <c r="H135" s="24">
        <f>H134-'Vision patrimoine'!$H$25</f>
        <v>3921.7400000000002</v>
      </c>
    </row>
    <row r="136" spans="2:8" x14ac:dyDescent="0.2">
      <c r="B136" s="15" t="s">
        <v>41</v>
      </c>
      <c r="C136" s="32">
        <v>2033</v>
      </c>
      <c r="D136" s="1"/>
      <c r="E136" s="1"/>
      <c r="F136" s="1"/>
      <c r="G136" s="24">
        <f>G135-'Vision patrimoine'!$H$24</f>
        <v>6840</v>
      </c>
      <c r="H136" s="24">
        <f>H135-'Vision patrimoine'!$H$25</f>
        <v>3634.3</v>
      </c>
    </row>
    <row r="137" spans="2:8" x14ac:dyDescent="0.2">
      <c r="B137" s="15" t="s">
        <v>30</v>
      </c>
      <c r="C137" s="32">
        <v>2033</v>
      </c>
      <c r="D137" s="1"/>
      <c r="E137" s="1"/>
      <c r="F137" s="1"/>
      <c r="G137" s="24">
        <f>G136-'Vision patrimoine'!$H$24</f>
        <v>6312</v>
      </c>
      <c r="H137" s="24">
        <f>H136-'Vision patrimoine'!$H$25</f>
        <v>3346.86</v>
      </c>
    </row>
    <row r="138" spans="2:8" x14ac:dyDescent="0.2">
      <c r="B138" s="15" t="s">
        <v>31</v>
      </c>
      <c r="C138" s="32">
        <v>2033</v>
      </c>
      <c r="D138" s="1"/>
      <c r="E138" s="1"/>
      <c r="F138" s="1"/>
      <c r="G138" s="24">
        <f>G137-'Vision patrimoine'!$H$24</f>
        <v>5784</v>
      </c>
      <c r="H138" s="24">
        <f>H137-'Vision patrimoine'!$H$25</f>
        <v>3059.42</v>
      </c>
    </row>
    <row r="139" spans="2:8" x14ac:dyDescent="0.2">
      <c r="B139" s="15" t="s">
        <v>32</v>
      </c>
      <c r="C139" s="32">
        <v>2034</v>
      </c>
      <c r="D139" s="1"/>
      <c r="E139" s="1"/>
      <c r="F139" s="1"/>
      <c r="G139" s="24">
        <f>G138-'Vision patrimoine'!$H$24</f>
        <v>5256</v>
      </c>
      <c r="H139" s="24">
        <f>H138-'Vision patrimoine'!$H$25</f>
        <v>2771.98</v>
      </c>
    </row>
    <row r="140" spans="2:8" x14ac:dyDescent="0.2">
      <c r="B140" s="15" t="s">
        <v>33</v>
      </c>
      <c r="C140" s="32">
        <v>2034</v>
      </c>
      <c r="D140" s="1"/>
      <c r="E140" s="1"/>
      <c r="F140" s="1"/>
      <c r="G140" s="24">
        <f>G139-'Vision patrimoine'!$H$24</f>
        <v>4728</v>
      </c>
      <c r="H140" s="24">
        <f>H139-'Vision patrimoine'!$H$25</f>
        <v>2484.54</v>
      </c>
    </row>
    <row r="141" spans="2:8" x14ac:dyDescent="0.2">
      <c r="B141" s="15" t="s">
        <v>34</v>
      </c>
      <c r="C141" s="32">
        <v>2034</v>
      </c>
      <c r="D141" s="1"/>
      <c r="E141" s="1"/>
      <c r="F141" s="1"/>
      <c r="G141" s="24">
        <f>G140-'Vision patrimoine'!$H$24</f>
        <v>4200</v>
      </c>
      <c r="H141" s="24">
        <f>H140-'Vision patrimoine'!$H$25</f>
        <v>2197.1</v>
      </c>
    </row>
    <row r="142" spans="2:8" x14ac:dyDescent="0.2">
      <c r="B142" s="15" t="s">
        <v>35</v>
      </c>
      <c r="C142" s="32">
        <v>2034</v>
      </c>
      <c r="D142" s="1"/>
      <c r="E142" s="1"/>
      <c r="F142" s="1"/>
      <c r="G142" s="24">
        <f>G141-'Vision patrimoine'!$H$24</f>
        <v>3672</v>
      </c>
      <c r="H142" s="24">
        <f>H141-'Vision patrimoine'!$H$25</f>
        <v>1909.6599999999999</v>
      </c>
    </row>
    <row r="143" spans="2:8" x14ac:dyDescent="0.2">
      <c r="B143" s="15" t="s">
        <v>36</v>
      </c>
      <c r="C143" s="32">
        <v>2034</v>
      </c>
      <c r="D143" s="1"/>
      <c r="E143" s="1"/>
      <c r="F143" s="1"/>
      <c r="G143" s="24">
        <f>G142-'Vision patrimoine'!$H$24</f>
        <v>3144</v>
      </c>
      <c r="H143" s="24">
        <f>H142-'Vision patrimoine'!$H$25</f>
        <v>1622.2199999999998</v>
      </c>
    </row>
    <row r="144" spans="2:8" x14ac:dyDescent="0.2">
      <c r="B144" s="15" t="s">
        <v>37</v>
      </c>
      <c r="C144" s="32">
        <v>2034</v>
      </c>
      <c r="D144" s="1"/>
      <c r="E144" s="1"/>
      <c r="F144" s="1"/>
      <c r="G144" s="24">
        <f>G143-'Vision patrimoine'!$H$24</f>
        <v>2616</v>
      </c>
      <c r="H144" s="24">
        <f>H143-'Vision patrimoine'!$H$25</f>
        <v>1334.7799999999997</v>
      </c>
    </row>
    <row r="145" spans="2:8" x14ac:dyDescent="0.2">
      <c r="B145" s="15" t="s">
        <v>38</v>
      </c>
      <c r="C145" s="32">
        <v>2034</v>
      </c>
      <c r="D145" s="1"/>
      <c r="E145" s="1"/>
      <c r="F145" s="1"/>
      <c r="G145" s="1"/>
      <c r="H145" s="24">
        <f>H144-'Vision patrimoine'!$H$25</f>
        <v>1047.3399999999997</v>
      </c>
    </row>
    <row r="146" spans="2:8" x14ac:dyDescent="0.2">
      <c r="B146" s="15" t="s">
        <v>39</v>
      </c>
      <c r="C146" s="32">
        <v>2034</v>
      </c>
      <c r="D146" s="1"/>
      <c r="E146" s="1"/>
      <c r="F146" s="1"/>
      <c r="G146" s="1"/>
      <c r="H146" s="24">
        <f>H145-'Vision patrimoine'!$H$25</f>
        <v>759.89999999999964</v>
      </c>
    </row>
  </sheetData>
  <mergeCells count="1">
    <mergeCell ref="B2:H2"/>
  </mergeCells>
  <pageMargins left="0.7" right="0.7" top="0.75" bottom="0.75" header="0.3" footer="0.3"/>
  <pageSetup paperSize="9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E1C2E-9A95-4214-A4A4-D1E559B16486}">
  <sheetPr>
    <tabColor rgb="FF920000"/>
  </sheetPr>
  <dimension ref="B1:H304"/>
  <sheetViews>
    <sheetView zoomScaleNormal="100" workbookViewId="0">
      <selection activeCell="F5" sqref="F5"/>
    </sheetView>
  </sheetViews>
  <sheetFormatPr baseColWidth="10" defaultRowHeight="16" x14ac:dyDescent="0.2"/>
  <cols>
    <col min="1" max="1" width="1.1640625" customWidth="1"/>
    <col min="2" max="3" width="20.5" style="31" customWidth="1"/>
    <col min="4" max="4" width="39" customWidth="1"/>
    <col min="5" max="5" width="18.33203125" customWidth="1"/>
  </cols>
  <sheetData>
    <row r="1" spans="2:8" ht="3" customHeight="1" x14ac:dyDescent="0.2"/>
    <row r="2" spans="2:8" ht="130.5" customHeight="1" x14ac:dyDescent="0.2">
      <c r="B2" s="152" t="s">
        <v>78</v>
      </c>
      <c r="C2" s="152"/>
      <c r="D2" s="152"/>
      <c r="E2" s="152"/>
      <c r="F2" s="152"/>
      <c r="G2" s="152"/>
      <c r="H2" s="152"/>
    </row>
    <row r="3" spans="2:8" ht="2.25" customHeight="1" x14ac:dyDescent="0.2"/>
    <row r="4" spans="2:8" ht="50" customHeight="1" x14ac:dyDescent="0.2">
      <c r="B4" s="33" t="s">
        <v>28</v>
      </c>
      <c r="C4" s="33" t="s">
        <v>29</v>
      </c>
      <c r="D4" s="91" t="s">
        <v>68</v>
      </c>
      <c r="E4" s="118" t="s">
        <v>70</v>
      </c>
      <c r="F4" s="119" t="s">
        <v>71</v>
      </c>
      <c r="G4" s="119" t="s">
        <v>72</v>
      </c>
      <c r="H4" s="119" t="s">
        <v>74</v>
      </c>
    </row>
    <row r="5" spans="2:8" x14ac:dyDescent="0.2">
      <c r="B5" s="15" t="s">
        <v>30</v>
      </c>
      <c r="C5" s="15">
        <v>2024</v>
      </c>
      <c r="D5" s="104">
        <v>266771.42</v>
      </c>
      <c r="E5" s="104">
        <f>F5-G5</f>
        <v>4.1000000000000227</v>
      </c>
      <c r="F5" s="104">
        <v>840</v>
      </c>
      <c r="G5" s="104">
        <v>835.9</v>
      </c>
      <c r="H5" s="120">
        <v>65.7</v>
      </c>
    </row>
    <row r="6" spans="2:8" x14ac:dyDescent="0.2">
      <c r="B6" s="15" t="s">
        <v>31</v>
      </c>
      <c r="C6" s="15">
        <v>2024</v>
      </c>
      <c r="D6" s="104">
        <f>D5-E6</f>
        <v>266767.3</v>
      </c>
      <c r="E6" s="104">
        <f t="shared" ref="E6:E69" si="0">F6-G6</f>
        <v>4.1200000000000045</v>
      </c>
      <c r="F6" s="104">
        <v>840</v>
      </c>
      <c r="G6" s="104">
        <v>835.88</v>
      </c>
      <c r="H6" s="120">
        <v>64.48</v>
      </c>
    </row>
    <row r="7" spans="2:8" x14ac:dyDescent="0.2">
      <c r="B7" s="15" t="s">
        <v>32</v>
      </c>
      <c r="C7" s="15">
        <v>2025</v>
      </c>
      <c r="D7" s="104">
        <f>D6-E7</f>
        <v>266763.17</v>
      </c>
      <c r="E7" s="104">
        <f t="shared" si="0"/>
        <v>4.1299999999999955</v>
      </c>
      <c r="F7" s="104">
        <v>840</v>
      </c>
      <c r="G7" s="104">
        <v>835.87</v>
      </c>
      <c r="H7" s="120">
        <v>64.48</v>
      </c>
    </row>
    <row r="8" spans="2:8" x14ac:dyDescent="0.2">
      <c r="B8" s="15" t="s">
        <v>33</v>
      </c>
      <c r="C8" s="15">
        <v>2025</v>
      </c>
      <c r="D8" s="104">
        <f>D7-E8</f>
        <v>266759.02999999997</v>
      </c>
      <c r="E8" s="104">
        <f t="shared" si="0"/>
        <v>4.1399999999999864</v>
      </c>
      <c r="F8" s="104">
        <v>840</v>
      </c>
      <c r="G8" s="104">
        <v>835.86</v>
      </c>
      <c r="H8" s="120">
        <v>64.48</v>
      </c>
    </row>
    <row r="9" spans="2:8" x14ac:dyDescent="0.2">
      <c r="B9" s="15" t="s">
        <v>34</v>
      </c>
      <c r="C9" s="15">
        <v>2025</v>
      </c>
      <c r="D9" s="104">
        <f t="shared" ref="D9:D17" si="1">D8-E9</f>
        <v>266754.87</v>
      </c>
      <c r="E9" s="104">
        <f t="shared" si="0"/>
        <v>4.1599999999999682</v>
      </c>
      <c r="F9" s="104">
        <v>840</v>
      </c>
      <c r="G9" s="104">
        <v>835.84</v>
      </c>
      <c r="H9" s="120">
        <v>64.48</v>
      </c>
    </row>
    <row r="10" spans="2:8" x14ac:dyDescent="0.2">
      <c r="B10" s="15" t="s">
        <v>35</v>
      </c>
      <c r="C10" s="15">
        <v>2025</v>
      </c>
      <c r="D10" s="104">
        <f t="shared" si="1"/>
        <v>266750.7</v>
      </c>
      <c r="E10" s="104">
        <f t="shared" si="0"/>
        <v>4.1699999999999591</v>
      </c>
      <c r="F10" s="104">
        <v>840</v>
      </c>
      <c r="G10" s="104">
        <v>835.83</v>
      </c>
      <c r="H10" s="120">
        <v>64.48</v>
      </c>
    </row>
    <row r="11" spans="2:8" x14ac:dyDescent="0.2">
      <c r="B11" s="15" t="s">
        <v>36</v>
      </c>
      <c r="C11" s="15">
        <v>2025</v>
      </c>
      <c r="D11" s="104">
        <f t="shared" si="1"/>
        <v>266746.52</v>
      </c>
      <c r="E11" s="104">
        <f t="shared" si="0"/>
        <v>4.17999999999995</v>
      </c>
      <c r="F11" s="104">
        <v>840</v>
      </c>
      <c r="G11" s="104">
        <v>835.82</v>
      </c>
      <c r="H11" s="120">
        <v>64.48</v>
      </c>
    </row>
    <row r="12" spans="2:8" x14ac:dyDescent="0.2">
      <c r="B12" s="15" t="s">
        <v>37</v>
      </c>
      <c r="C12" s="15">
        <v>2025</v>
      </c>
      <c r="D12" s="104">
        <f t="shared" si="1"/>
        <v>266742.33</v>
      </c>
      <c r="E12" s="104">
        <f t="shared" si="0"/>
        <v>4.1900000000000546</v>
      </c>
      <c r="F12" s="104">
        <v>840</v>
      </c>
      <c r="G12" s="104">
        <v>835.81</v>
      </c>
      <c r="H12" s="120">
        <v>64.48</v>
      </c>
    </row>
    <row r="13" spans="2:8" x14ac:dyDescent="0.2">
      <c r="B13" s="15" t="s">
        <v>38</v>
      </c>
      <c r="C13" s="15">
        <v>2025</v>
      </c>
      <c r="D13" s="104">
        <f t="shared" si="1"/>
        <v>266738.12</v>
      </c>
      <c r="E13" s="104">
        <f t="shared" si="0"/>
        <v>4.2100000000000364</v>
      </c>
      <c r="F13" s="104">
        <v>840</v>
      </c>
      <c r="G13" s="104">
        <v>835.79</v>
      </c>
      <c r="H13" s="120">
        <v>64.48</v>
      </c>
    </row>
    <row r="14" spans="2:8" x14ac:dyDescent="0.2">
      <c r="B14" s="15" t="s">
        <v>39</v>
      </c>
      <c r="C14" s="15">
        <v>2025</v>
      </c>
      <c r="D14" s="104">
        <f t="shared" si="1"/>
        <v>266733.90000000002</v>
      </c>
      <c r="E14" s="104">
        <f t="shared" si="0"/>
        <v>4.2200000000000273</v>
      </c>
      <c r="F14" s="104">
        <v>840</v>
      </c>
      <c r="G14" s="104">
        <v>835.78</v>
      </c>
      <c r="H14" s="120">
        <v>64.48</v>
      </c>
    </row>
    <row r="15" spans="2:8" x14ac:dyDescent="0.2">
      <c r="B15" s="15" t="s">
        <v>40</v>
      </c>
      <c r="C15" s="15">
        <v>2025</v>
      </c>
      <c r="D15" s="104">
        <f t="shared" si="1"/>
        <v>266729.67000000004</v>
      </c>
      <c r="E15" s="104">
        <f t="shared" si="0"/>
        <v>4.2300000000000182</v>
      </c>
      <c r="F15" s="104">
        <v>840</v>
      </c>
      <c r="G15" s="104">
        <v>835.77</v>
      </c>
      <c r="H15" s="120">
        <v>64.48</v>
      </c>
    </row>
    <row r="16" spans="2:8" x14ac:dyDescent="0.2">
      <c r="B16" s="15" t="s">
        <v>41</v>
      </c>
      <c r="C16" s="15">
        <v>2025</v>
      </c>
      <c r="D16" s="104">
        <f t="shared" si="1"/>
        <v>266725.42000000004</v>
      </c>
      <c r="E16" s="104">
        <f t="shared" si="0"/>
        <v>4.25</v>
      </c>
      <c r="F16" s="104">
        <v>840</v>
      </c>
      <c r="G16" s="104">
        <v>835.75</v>
      </c>
      <c r="H16" s="120">
        <v>64.48</v>
      </c>
    </row>
    <row r="17" spans="2:8" x14ac:dyDescent="0.2">
      <c r="B17" s="15" t="s">
        <v>30</v>
      </c>
      <c r="C17" s="15">
        <v>2025</v>
      </c>
      <c r="D17" s="104">
        <f t="shared" si="1"/>
        <v>266721.16000000003</v>
      </c>
      <c r="E17" s="104">
        <f t="shared" si="0"/>
        <v>4.2599999999999909</v>
      </c>
      <c r="F17" s="104">
        <v>840</v>
      </c>
      <c r="G17" s="104">
        <v>835.74</v>
      </c>
      <c r="H17" s="120">
        <v>64.48</v>
      </c>
    </row>
    <row r="18" spans="2:8" x14ac:dyDescent="0.2">
      <c r="B18" s="15" t="s">
        <v>31</v>
      </c>
      <c r="C18" s="15">
        <v>2025</v>
      </c>
      <c r="D18" s="104">
        <f>D17-E18</f>
        <v>266716.89</v>
      </c>
      <c r="E18" s="104">
        <f t="shared" si="0"/>
        <v>4.2699999999999818</v>
      </c>
      <c r="F18" s="104">
        <v>840</v>
      </c>
      <c r="G18" s="104">
        <v>835.73</v>
      </c>
      <c r="H18" s="120">
        <v>64.48</v>
      </c>
    </row>
    <row r="19" spans="2:8" x14ac:dyDescent="0.2">
      <c r="B19" s="15" t="s">
        <v>32</v>
      </c>
      <c r="C19" s="15">
        <v>2026</v>
      </c>
      <c r="D19" s="104">
        <f>D18-E19</f>
        <v>266712.60000000003</v>
      </c>
      <c r="E19" s="104">
        <f t="shared" si="0"/>
        <v>4.2899999999999636</v>
      </c>
      <c r="F19" s="104">
        <v>840</v>
      </c>
      <c r="G19" s="104">
        <v>835.71</v>
      </c>
      <c r="H19" s="120">
        <v>64.48</v>
      </c>
    </row>
    <row r="20" spans="2:8" x14ac:dyDescent="0.2">
      <c r="B20" s="15" t="s">
        <v>33</v>
      </c>
      <c r="C20" s="15">
        <v>2026</v>
      </c>
      <c r="D20" s="104">
        <f>D19-E20</f>
        <v>266708.30000000005</v>
      </c>
      <c r="E20" s="104">
        <f t="shared" si="0"/>
        <v>4.2999999999999545</v>
      </c>
      <c r="F20" s="104">
        <v>840</v>
      </c>
      <c r="G20" s="104">
        <v>835.7</v>
      </c>
      <c r="H20" s="120">
        <v>64.48</v>
      </c>
    </row>
    <row r="21" spans="2:8" x14ac:dyDescent="0.2">
      <c r="B21" s="15" t="s">
        <v>34</v>
      </c>
      <c r="C21" s="15">
        <v>2026</v>
      </c>
      <c r="D21" s="104">
        <f t="shared" ref="D21:D28" si="2">D20-E21</f>
        <v>266703.99000000005</v>
      </c>
      <c r="E21" s="104">
        <f t="shared" si="0"/>
        <v>4.3099999999999454</v>
      </c>
      <c r="F21" s="104">
        <v>840</v>
      </c>
      <c r="G21" s="104">
        <v>835.69</v>
      </c>
      <c r="H21" s="120">
        <v>64.48</v>
      </c>
    </row>
    <row r="22" spans="2:8" x14ac:dyDescent="0.2">
      <c r="B22" s="15" t="s">
        <v>35</v>
      </c>
      <c r="C22" s="15">
        <v>2026</v>
      </c>
      <c r="D22" s="104">
        <f t="shared" si="2"/>
        <v>266699.66000000003</v>
      </c>
      <c r="E22" s="104">
        <f t="shared" si="0"/>
        <v>4.3300000000000409</v>
      </c>
      <c r="F22" s="104">
        <v>840</v>
      </c>
      <c r="G22" s="104">
        <v>835.67</v>
      </c>
      <c r="H22" s="120">
        <v>64.48</v>
      </c>
    </row>
    <row r="23" spans="2:8" x14ac:dyDescent="0.2">
      <c r="B23" s="15" t="s">
        <v>36</v>
      </c>
      <c r="C23" s="15">
        <v>2026</v>
      </c>
      <c r="D23" s="104">
        <f t="shared" si="2"/>
        <v>266695.32</v>
      </c>
      <c r="E23" s="104">
        <f t="shared" si="0"/>
        <v>4.3400000000000318</v>
      </c>
      <c r="F23" s="104">
        <v>840</v>
      </c>
      <c r="G23" s="104">
        <v>835.66</v>
      </c>
      <c r="H23" s="120">
        <v>64.48</v>
      </c>
    </row>
    <row r="24" spans="2:8" x14ac:dyDescent="0.2">
      <c r="B24" s="15" t="s">
        <v>37</v>
      </c>
      <c r="C24" s="15">
        <v>2026</v>
      </c>
      <c r="D24" s="104">
        <f t="shared" si="2"/>
        <v>266690.97000000003</v>
      </c>
      <c r="E24" s="104">
        <f t="shared" si="0"/>
        <v>4.3500000000000227</v>
      </c>
      <c r="F24" s="104">
        <v>840</v>
      </c>
      <c r="G24" s="104">
        <v>835.65</v>
      </c>
      <c r="H24" s="120">
        <v>64.48</v>
      </c>
    </row>
    <row r="25" spans="2:8" x14ac:dyDescent="0.2">
      <c r="B25" s="15" t="s">
        <v>38</v>
      </c>
      <c r="C25" s="15">
        <v>2026</v>
      </c>
      <c r="D25" s="104">
        <f t="shared" si="2"/>
        <v>265409.7</v>
      </c>
      <c r="E25" s="104">
        <f t="shared" si="0"/>
        <v>1281.27</v>
      </c>
      <c r="F25" s="104">
        <v>2116.9</v>
      </c>
      <c r="G25" s="104">
        <v>835.63</v>
      </c>
      <c r="H25" s="120">
        <v>64.48</v>
      </c>
    </row>
    <row r="26" spans="2:8" x14ac:dyDescent="0.2">
      <c r="B26" s="15" t="s">
        <v>39</v>
      </c>
      <c r="C26" s="15">
        <v>2026</v>
      </c>
      <c r="D26" s="104">
        <f t="shared" si="2"/>
        <v>264124.42</v>
      </c>
      <c r="E26" s="104">
        <f t="shared" si="0"/>
        <v>1285.2800000000002</v>
      </c>
      <c r="F26" s="104">
        <v>2116.9</v>
      </c>
      <c r="G26" s="104">
        <v>831.62</v>
      </c>
      <c r="H26" s="120">
        <v>64.48</v>
      </c>
    </row>
    <row r="27" spans="2:8" x14ac:dyDescent="0.2">
      <c r="B27" s="15" t="s">
        <v>40</v>
      </c>
      <c r="C27" s="15">
        <v>2026</v>
      </c>
      <c r="D27" s="104">
        <f t="shared" si="2"/>
        <v>262835.11</v>
      </c>
      <c r="E27" s="104">
        <f t="shared" si="0"/>
        <v>1289.31</v>
      </c>
      <c r="F27" s="104">
        <v>2116.9</v>
      </c>
      <c r="G27" s="104">
        <v>827.59</v>
      </c>
      <c r="H27" s="120">
        <v>64.48</v>
      </c>
    </row>
    <row r="28" spans="2:8" x14ac:dyDescent="0.2">
      <c r="B28" s="15" t="s">
        <v>41</v>
      </c>
      <c r="C28" s="15">
        <v>2026</v>
      </c>
      <c r="D28" s="104">
        <f t="shared" si="2"/>
        <v>261541.75999999998</v>
      </c>
      <c r="E28" s="104">
        <f t="shared" si="0"/>
        <v>1293.3500000000001</v>
      </c>
      <c r="F28" s="104">
        <v>2116.9</v>
      </c>
      <c r="G28" s="104">
        <v>823.55</v>
      </c>
      <c r="H28" s="120">
        <v>64.48</v>
      </c>
    </row>
    <row r="29" spans="2:8" x14ac:dyDescent="0.2">
      <c r="B29" s="15" t="s">
        <v>30</v>
      </c>
      <c r="C29" s="15">
        <v>2026</v>
      </c>
      <c r="D29" s="104">
        <f>D28-E29</f>
        <v>260244.36</v>
      </c>
      <c r="E29" s="104">
        <f t="shared" si="0"/>
        <v>1297.4000000000001</v>
      </c>
      <c r="F29" s="104">
        <v>2116.9</v>
      </c>
      <c r="G29" s="104">
        <v>819.5</v>
      </c>
      <c r="H29" s="120">
        <v>64.48</v>
      </c>
    </row>
    <row r="30" spans="2:8" x14ac:dyDescent="0.2">
      <c r="B30" s="15" t="s">
        <v>31</v>
      </c>
      <c r="C30" s="15">
        <v>2026</v>
      </c>
      <c r="D30" s="104">
        <f>D29-E30</f>
        <v>258942.88999999998</v>
      </c>
      <c r="E30" s="104">
        <f t="shared" si="0"/>
        <v>1301.4700000000003</v>
      </c>
      <c r="F30" s="104">
        <v>2116.9</v>
      </c>
      <c r="G30" s="104">
        <v>815.43</v>
      </c>
      <c r="H30" s="120">
        <v>64.48</v>
      </c>
    </row>
    <row r="31" spans="2:8" x14ac:dyDescent="0.2">
      <c r="B31" s="15" t="s">
        <v>32</v>
      </c>
      <c r="C31" s="15">
        <v>2027</v>
      </c>
      <c r="D31" s="104">
        <f>D30-E31</f>
        <v>257637.34</v>
      </c>
      <c r="E31" s="104">
        <f t="shared" si="0"/>
        <v>1305.5500000000002</v>
      </c>
      <c r="F31" s="104">
        <v>2116.9</v>
      </c>
      <c r="G31" s="104">
        <v>811.35</v>
      </c>
      <c r="H31" s="120">
        <v>64.48</v>
      </c>
    </row>
    <row r="32" spans="2:8" x14ac:dyDescent="0.2">
      <c r="B32" s="15" t="s">
        <v>33</v>
      </c>
      <c r="C32" s="15">
        <v>2027</v>
      </c>
      <c r="D32" s="104">
        <f t="shared" ref="D32" si="3">D31-E32</f>
        <v>256327.69999999998</v>
      </c>
      <c r="E32" s="104">
        <f t="shared" si="0"/>
        <v>1309.6400000000001</v>
      </c>
      <c r="F32" s="104">
        <v>2116.9</v>
      </c>
      <c r="G32" s="104">
        <v>807.26</v>
      </c>
      <c r="H32" s="120">
        <v>64.48</v>
      </c>
    </row>
    <row r="33" spans="2:8" x14ac:dyDescent="0.2">
      <c r="B33" s="15" t="s">
        <v>34</v>
      </c>
      <c r="C33" s="15">
        <v>2027</v>
      </c>
      <c r="D33" s="104">
        <f>D32-E33</f>
        <v>255013.96</v>
      </c>
      <c r="E33" s="104">
        <f t="shared" si="0"/>
        <v>1313.7400000000002</v>
      </c>
      <c r="F33" s="104">
        <v>2116.9</v>
      </c>
      <c r="G33" s="104">
        <v>803.16</v>
      </c>
      <c r="H33" s="120">
        <v>64.48</v>
      </c>
    </row>
    <row r="34" spans="2:8" x14ac:dyDescent="0.2">
      <c r="B34" s="15" t="s">
        <v>35</v>
      </c>
      <c r="C34" s="15">
        <v>2027</v>
      </c>
      <c r="D34" s="104">
        <f>D33-E34</f>
        <v>253696.1</v>
      </c>
      <c r="E34" s="104">
        <f t="shared" si="0"/>
        <v>1317.8600000000001</v>
      </c>
      <c r="F34" s="104">
        <v>2116.9</v>
      </c>
      <c r="G34" s="104">
        <v>799.04</v>
      </c>
      <c r="H34" s="120">
        <v>64.48</v>
      </c>
    </row>
    <row r="35" spans="2:8" x14ac:dyDescent="0.2">
      <c r="B35" s="15" t="s">
        <v>36</v>
      </c>
      <c r="C35" s="15">
        <v>2027</v>
      </c>
      <c r="D35" s="104">
        <f>D34-E35</f>
        <v>252374.11000000002</v>
      </c>
      <c r="E35" s="104">
        <f t="shared" si="0"/>
        <v>1321.9900000000002</v>
      </c>
      <c r="F35" s="104">
        <v>2116.9</v>
      </c>
      <c r="G35" s="104">
        <v>794.91</v>
      </c>
      <c r="H35" s="120">
        <v>64.48</v>
      </c>
    </row>
    <row r="36" spans="2:8" x14ac:dyDescent="0.2">
      <c r="B36" s="15" t="s">
        <v>37</v>
      </c>
      <c r="C36" s="15">
        <v>2027</v>
      </c>
      <c r="D36" s="104">
        <f>D35-E36</f>
        <v>251047.98</v>
      </c>
      <c r="E36" s="104">
        <f t="shared" si="0"/>
        <v>1326.13</v>
      </c>
      <c r="F36" s="104">
        <v>2116.9</v>
      </c>
      <c r="G36" s="104">
        <v>790.77</v>
      </c>
      <c r="H36" s="120">
        <v>64.48</v>
      </c>
    </row>
    <row r="37" spans="2:8" x14ac:dyDescent="0.2">
      <c r="B37" s="15" t="s">
        <v>38</v>
      </c>
      <c r="C37" s="15">
        <v>2027</v>
      </c>
      <c r="D37" s="104">
        <f>D36-E37</f>
        <v>249717.7</v>
      </c>
      <c r="E37" s="104">
        <f t="shared" si="0"/>
        <v>1330.2800000000002</v>
      </c>
      <c r="F37" s="104">
        <v>2116.9</v>
      </c>
      <c r="G37" s="104">
        <v>786.62</v>
      </c>
      <c r="H37" s="120">
        <v>64.48</v>
      </c>
    </row>
    <row r="38" spans="2:8" x14ac:dyDescent="0.2">
      <c r="B38" s="15" t="s">
        <v>39</v>
      </c>
      <c r="C38" s="15">
        <v>2027</v>
      </c>
      <c r="D38" s="104">
        <f t="shared" ref="D38:D43" si="4">D37-E38</f>
        <v>248383.25</v>
      </c>
      <c r="E38" s="104">
        <f t="shared" si="0"/>
        <v>1334.45</v>
      </c>
      <c r="F38" s="104">
        <v>2116.9</v>
      </c>
      <c r="G38" s="104">
        <v>782.45</v>
      </c>
      <c r="H38" s="120">
        <v>64.48</v>
      </c>
    </row>
    <row r="39" spans="2:8" x14ac:dyDescent="0.2">
      <c r="B39" s="15" t="s">
        <v>40</v>
      </c>
      <c r="C39" s="15">
        <v>2027</v>
      </c>
      <c r="D39" s="104">
        <f t="shared" si="4"/>
        <v>247044.62</v>
      </c>
      <c r="E39" s="104">
        <f t="shared" si="0"/>
        <v>1338.63</v>
      </c>
      <c r="F39" s="104">
        <v>2116.9</v>
      </c>
      <c r="G39" s="104">
        <v>778.27</v>
      </c>
      <c r="H39" s="120">
        <v>64.48</v>
      </c>
    </row>
    <row r="40" spans="2:8" x14ac:dyDescent="0.2">
      <c r="B40" s="15" t="s">
        <v>41</v>
      </c>
      <c r="C40" s="15">
        <v>2027</v>
      </c>
      <c r="D40" s="104">
        <f t="shared" si="4"/>
        <v>245701.79</v>
      </c>
      <c r="E40" s="104">
        <f t="shared" si="0"/>
        <v>1342.83</v>
      </c>
      <c r="F40" s="104">
        <v>2116.9</v>
      </c>
      <c r="G40" s="104">
        <v>774.07</v>
      </c>
      <c r="H40" s="120">
        <v>64.48</v>
      </c>
    </row>
    <row r="41" spans="2:8" x14ac:dyDescent="0.2">
      <c r="B41" s="15" t="s">
        <v>30</v>
      </c>
      <c r="C41" s="15">
        <v>2027</v>
      </c>
      <c r="D41" s="104">
        <f t="shared" si="4"/>
        <v>244354.76</v>
      </c>
      <c r="E41" s="104">
        <f t="shared" si="0"/>
        <v>1347.0300000000002</v>
      </c>
      <c r="F41" s="104">
        <v>2116.9</v>
      </c>
      <c r="G41" s="104">
        <v>769.87</v>
      </c>
      <c r="H41" s="120">
        <v>64.48</v>
      </c>
    </row>
    <row r="42" spans="2:8" x14ac:dyDescent="0.2">
      <c r="B42" s="15" t="s">
        <v>31</v>
      </c>
      <c r="C42" s="15">
        <v>2027</v>
      </c>
      <c r="D42" s="104">
        <f t="shared" si="4"/>
        <v>243003.5</v>
      </c>
      <c r="E42" s="104">
        <f t="shared" si="0"/>
        <v>1351.2600000000002</v>
      </c>
      <c r="F42" s="104">
        <v>2116.9</v>
      </c>
      <c r="G42" s="104">
        <v>765.64</v>
      </c>
      <c r="H42" s="120">
        <v>64.48</v>
      </c>
    </row>
    <row r="43" spans="2:8" x14ac:dyDescent="0.2">
      <c r="B43" s="15" t="s">
        <v>32</v>
      </c>
      <c r="C43" s="15">
        <v>2028</v>
      </c>
      <c r="D43" s="104">
        <f t="shared" si="4"/>
        <v>241648.01</v>
      </c>
      <c r="E43" s="104">
        <f t="shared" si="0"/>
        <v>1355.4900000000002</v>
      </c>
      <c r="F43" s="104">
        <v>2116.9</v>
      </c>
      <c r="G43" s="104">
        <v>761.41</v>
      </c>
      <c r="H43" s="120">
        <v>64.48</v>
      </c>
    </row>
    <row r="44" spans="2:8" x14ac:dyDescent="0.2">
      <c r="B44" s="15" t="s">
        <v>33</v>
      </c>
      <c r="C44" s="15">
        <v>2028</v>
      </c>
      <c r="D44" s="104">
        <f>D43-E44</f>
        <v>240288.27000000002</v>
      </c>
      <c r="E44" s="104">
        <f t="shared" si="0"/>
        <v>1359.7400000000002</v>
      </c>
      <c r="F44" s="104">
        <v>2116.9</v>
      </c>
      <c r="G44" s="104">
        <v>757.16</v>
      </c>
      <c r="H44" s="120">
        <v>64.48</v>
      </c>
    </row>
    <row r="45" spans="2:8" x14ac:dyDescent="0.2">
      <c r="B45" s="15" t="s">
        <v>34</v>
      </c>
      <c r="C45" s="15">
        <v>2028</v>
      </c>
      <c r="D45" s="104">
        <f>D44-E45</f>
        <v>238924.27000000002</v>
      </c>
      <c r="E45" s="104">
        <f t="shared" si="0"/>
        <v>1364</v>
      </c>
      <c r="F45" s="104">
        <v>2116.9</v>
      </c>
      <c r="G45" s="104">
        <v>752.9</v>
      </c>
      <c r="H45" s="120">
        <v>64.48</v>
      </c>
    </row>
    <row r="46" spans="2:8" x14ac:dyDescent="0.2">
      <c r="B46" s="15" t="s">
        <v>35</v>
      </c>
      <c r="C46" s="15">
        <v>2028</v>
      </c>
      <c r="D46" s="104">
        <f>D45-E46</f>
        <v>237556.00000000003</v>
      </c>
      <c r="E46" s="104">
        <f t="shared" si="0"/>
        <v>1368.27</v>
      </c>
      <c r="F46" s="104">
        <v>2116.9</v>
      </c>
      <c r="G46" s="104">
        <v>748.63</v>
      </c>
      <c r="H46" s="120">
        <v>64.48</v>
      </c>
    </row>
    <row r="47" spans="2:8" x14ac:dyDescent="0.2">
      <c r="B47" s="15" t="s">
        <v>36</v>
      </c>
      <c r="C47" s="15">
        <v>2028</v>
      </c>
      <c r="D47" s="104">
        <f t="shared" ref="D47:D55" si="5">D46-E47</f>
        <v>236183.44000000003</v>
      </c>
      <c r="E47" s="104">
        <f t="shared" si="0"/>
        <v>1372.56</v>
      </c>
      <c r="F47" s="104">
        <v>2116.9</v>
      </c>
      <c r="G47" s="104">
        <v>744.34</v>
      </c>
      <c r="H47" s="120">
        <v>64.48</v>
      </c>
    </row>
    <row r="48" spans="2:8" x14ac:dyDescent="0.2">
      <c r="B48" s="15" t="s">
        <v>37</v>
      </c>
      <c r="C48" s="15">
        <v>2028</v>
      </c>
      <c r="D48" s="104">
        <f t="shared" si="5"/>
        <v>234806.58000000005</v>
      </c>
      <c r="E48" s="104">
        <f t="shared" si="0"/>
        <v>1376.8600000000001</v>
      </c>
      <c r="F48" s="104">
        <v>2116.9</v>
      </c>
      <c r="G48" s="104">
        <v>740.04</v>
      </c>
      <c r="H48" s="120">
        <v>64.48</v>
      </c>
    </row>
    <row r="49" spans="2:8" x14ac:dyDescent="0.2">
      <c r="B49" s="15" t="s">
        <v>38</v>
      </c>
      <c r="C49" s="15">
        <v>2028</v>
      </c>
      <c r="D49" s="104">
        <f t="shared" si="5"/>
        <v>233425.41000000003</v>
      </c>
      <c r="E49" s="104">
        <f t="shared" si="0"/>
        <v>1381.17</v>
      </c>
      <c r="F49" s="104">
        <v>2116.9</v>
      </c>
      <c r="G49" s="104">
        <v>735.73</v>
      </c>
      <c r="H49" s="120">
        <v>64.48</v>
      </c>
    </row>
    <row r="50" spans="2:8" x14ac:dyDescent="0.2">
      <c r="B50" s="15" t="s">
        <v>39</v>
      </c>
      <c r="C50" s="15">
        <v>2028</v>
      </c>
      <c r="D50" s="104">
        <f t="shared" si="5"/>
        <v>232039.91000000003</v>
      </c>
      <c r="E50" s="104">
        <f t="shared" si="0"/>
        <v>1385.5</v>
      </c>
      <c r="F50" s="104">
        <v>2116.9</v>
      </c>
      <c r="G50" s="104">
        <v>731.4</v>
      </c>
      <c r="H50" s="120">
        <v>64.48</v>
      </c>
    </row>
    <row r="51" spans="2:8" x14ac:dyDescent="0.2">
      <c r="B51" s="15" t="s">
        <v>40</v>
      </c>
      <c r="C51" s="15">
        <v>2028</v>
      </c>
      <c r="D51" s="104">
        <f t="shared" si="5"/>
        <v>230650.07000000004</v>
      </c>
      <c r="E51" s="104">
        <f t="shared" si="0"/>
        <v>1389.8400000000001</v>
      </c>
      <c r="F51" s="104">
        <v>2116.9</v>
      </c>
      <c r="G51" s="104">
        <v>727.06</v>
      </c>
      <c r="H51" s="120">
        <v>64.48</v>
      </c>
    </row>
    <row r="52" spans="2:8" x14ac:dyDescent="0.2">
      <c r="B52" s="15" t="s">
        <v>41</v>
      </c>
      <c r="C52" s="15">
        <v>2028</v>
      </c>
      <c r="D52" s="104">
        <f t="shared" si="5"/>
        <v>229255.87000000002</v>
      </c>
      <c r="E52" s="104">
        <f t="shared" si="0"/>
        <v>1394.2</v>
      </c>
      <c r="F52" s="104">
        <v>2116.9</v>
      </c>
      <c r="G52" s="104">
        <v>722.7</v>
      </c>
      <c r="H52" s="120">
        <v>64.48</v>
      </c>
    </row>
    <row r="53" spans="2:8" x14ac:dyDescent="0.2">
      <c r="B53" s="15" t="s">
        <v>30</v>
      </c>
      <c r="C53" s="15">
        <v>2028</v>
      </c>
      <c r="D53" s="104">
        <f t="shared" si="5"/>
        <v>227857.31000000003</v>
      </c>
      <c r="E53" s="104">
        <f t="shared" si="0"/>
        <v>1398.56</v>
      </c>
      <c r="F53" s="104">
        <v>2116.9</v>
      </c>
      <c r="G53" s="104">
        <v>718.34</v>
      </c>
      <c r="H53" s="120">
        <v>64.48</v>
      </c>
    </row>
    <row r="54" spans="2:8" x14ac:dyDescent="0.2">
      <c r="B54" s="15" t="s">
        <v>31</v>
      </c>
      <c r="C54" s="15">
        <v>2028</v>
      </c>
      <c r="D54" s="104">
        <f t="shared" si="5"/>
        <v>226454.36000000002</v>
      </c>
      <c r="E54" s="104">
        <f t="shared" si="0"/>
        <v>1402.95</v>
      </c>
      <c r="F54" s="104">
        <v>2116.9</v>
      </c>
      <c r="G54" s="104">
        <v>713.95</v>
      </c>
      <c r="H54" s="120">
        <v>64.48</v>
      </c>
    </row>
    <row r="55" spans="2:8" x14ac:dyDescent="0.2">
      <c r="B55" s="15" t="s">
        <v>32</v>
      </c>
      <c r="C55" s="15">
        <v>2029</v>
      </c>
      <c r="D55" s="104">
        <f t="shared" si="5"/>
        <v>225047.02000000002</v>
      </c>
      <c r="E55" s="104">
        <f t="shared" si="0"/>
        <v>1407.3400000000001</v>
      </c>
      <c r="F55" s="104">
        <v>2116.9</v>
      </c>
      <c r="G55" s="104">
        <v>709.56</v>
      </c>
      <c r="H55" s="120">
        <v>64.48</v>
      </c>
    </row>
    <row r="56" spans="2:8" x14ac:dyDescent="0.2">
      <c r="B56" s="15" t="s">
        <v>33</v>
      </c>
      <c r="C56" s="15">
        <v>2029</v>
      </c>
      <c r="D56" s="104">
        <f>D55-E56</f>
        <v>223635.27000000002</v>
      </c>
      <c r="E56" s="104">
        <f t="shared" si="0"/>
        <v>1411.75</v>
      </c>
      <c r="F56" s="104">
        <v>2116.9</v>
      </c>
      <c r="G56" s="104">
        <v>705.15</v>
      </c>
      <c r="H56" s="120">
        <v>64.48</v>
      </c>
    </row>
    <row r="57" spans="2:8" x14ac:dyDescent="0.2">
      <c r="B57" s="15" t="s">
        <v>34</v>
      </c>
      <c r="C57" s="15">
        <v>2029</v>
      </c>
      <c r="D57" s="104">
        <f>D56-E57</f>
        <v>222219.09000000003</v>
      </c>
      <c r="E57" s="104">
        <f t="shared" si="0"/>
        <v>1416.18</v>
      </c>
      <c r="F57" s="104">
        <v>2116.9</v>
      </c>
      <c r="G57" s="104">
        <v>700.72</v>
      </c>
      <c r="H57" s="120">
        <v>64.48</v>
      </c>
    </row>
    <row r="58" spans="2:8" x14ac:dyDescent="0.2">
      <c r="B58" s="15" t="s">
        <v>35</v>
      </c>
      <c r="C58" s="15">
        <v>2029</v>
      </c>
      <c r="D58" s="104">
        <f>D57-E58</f>
        <v>220798.48000000004</v>
      </c>
      <c r="E58" s="104">
        <f t="shared" si="0"/>
        <v>1420.6100000000001</v>
      </c>
      <c r="F58" s="104">
        <v>2116.9</v>
      </c>
      <c r="G58" s="104">
        <v>696.29</v>
      </c>
      <c r="H58" s="120">
        <v>64.48</v>
      </c>
    </row>
    <row r="59" spans="2:8" x14ac:dyDescent="0.2">
      <c r="B59" s="15" t="s">
        <v>36</v>
      </c>
      <c r="C59" s="15">
        <v>2029</v>
      </c>
      <c r="D59" s="104">
        <f>D58-E59</f>
        <v>219373.42000000004</v>
      </c>
      <c r="E59" s="104">
        <f t="shared" si="0"/>
        <v>1425.06</v>
      </c>
      <c r="F59" s="104">
        <v>2116.9</v>
      </c>
      <c r="G59" s="104">
        <v>691.84</v>
      </c>
      <c r="H59" s="120">
        <v>64.48</v>
      </c>
    </row>
    <row r="60" spans="2:8" x14ac:dyDescent="0.2">
      <c r="B60" s="15" t="s">
        <v>37</v>
      </c>
      <c r="C60" s="15">
        <v>2029</v>
      </c>
      <c r="D60" s="104">
        <f>D59-E60</f>
        <v>217943.89000000004</v>
      </c>
      <c r="E60" s="104">
        <f t="shared" si="0"/>
        <v>1429.5300000000002</v>
      </c>
      <c r="F60" s="104">
        <v>2116.9</v>
      </c>
      <c r="G60" s="104">
        <v>687.37</v>
      </c>
      <c r="H60" s="120">
        <v>64.48</v>
      </c>
    </row>
    <row r="61" spans="2:8" x14ac:dyDescent="0.2">
      <c r="B61" s="15" t="s">
        <v>38</v>
      </c>
      <c r="C61" s="15">
        <v>2029</v>
      </c>
      <c r="D61" s="104">
        <f t="shared" ref="D61:D69" si="6">D60-E61</f>
        <v>216509.88000000003</v>
      </c>
      <c r="E61" s="104">
        <f t="shared" si="0"/>
        <v>1434.0100000000002</v>
      </c>
      <c r="F61" s="104">
        <v>2116.9</v>
      </c>
      <c r="G61" s="104">
        <v>682.89</v>
      </c>
      <c r="H61" s="120">
        <v>64.48</v>
      </c>
    </row>
    <row r="62" spans="2:8" x14ac:dyDescent="0.2">
      <c r="B62" s="15" t="s">
        <v>39</v>
      </c>
      <c r="C62" s="15">
        <v>2029</v>
      </c>
      <c r="D62" s="104">
        <f t="shared" si="6"/>
        <v>215071.38000000003</v>
      </c>
      <c r="E62" s="104">
        <f t="shared" si="0"/>
        <v>1438.5</v>
      </c>
      <c r="F62" s="104">
        <v>2116.9</v>
      </c>
      <c r="G62" s="104">
        <v>678.4</v>
      </c>
      <c r="H62" s="120">
        <v>64.48</v>
      </c>
    </row>
    <row r="63" spans="2:8" x14ac:dyDescent="0.2">
      <c r="B63" s="15" t="s">
        <v>40</v>
      </c>
      <c r="C63" s="15">
        <v>2029</v>
      </c>
      <c r="D63" s="104">
        <f t="shared" si="6"/>
        <v>213628.37000000002</v>
      </c>
      <c r="E63" s="104">
        <f t="shared" si="0"/>
        <v>1443.0100000000002</v>
      </c>
      <c r="F63" s="104">
        <v>2116.9</v>
      </c>
      <c r="G63" s="104">
        <v>673.89</v>
      </c>
      <c r="H63" s="120">
        <v>64.48</v>
      </c>
    </row>
    <row r="64" spans="2:8" x14ac:dyDescent="0.2">
      <c r="B64" s="15" t="s">
        <v>41</v>
      </c>
      <c r="C64" s="15">
        <v>2029</v>
      </c>
      <c r="D64" s="104">
        <f t="shared" si="6"/>
        <v>212180.84000000003</v>
      </c>
      <c r="E64" s="104">
        <f t="shared" si="0"/>
        <v>1447.5300000000002</v>
      </c>
      <c r="F64" s="104">
        <v>2116.9</v>
      </c>
      <c r="G64" s="104">
        <v>669.37</v>
      </c>
      <c r="H64" s="120">
        <v>64.48</v>
      </c>
    </row>
    <row r="65" spans="2:8" x14ac:dyDescent="0.2">
      <c r="B65" s="15" t="s">
        <v>30</v>
      </c>
      <c r="C65" s="15">
        <v>2029</v>
      </c>
      <c r="D65" s="104">
        <f t="shared" si="6"/>
        <v>210728.77000000002</v>
      </c>
      <c r="E65" s="104">
        <f t="shared" si="0"/>
        <v>1452.0700000000002</v>
      </c>
      <c r="F65" s="104">
        <v>2116.9</v>
      </c>
      <c r="G65" s="104">
        <v>664.83</v>
      </c>
      <c r="H65" s="120">
        <v>64.48</v>
      </c>
    </row>
    <row r="66" spans="2:8" x14ac:dyDescent="0.2">
      <c r="B66" s="15" t="s">
        <v>31</v>
      </c>
      <c r="C66" s="15">
        <v>2029</v>
      </c>
      <c r="D66" s="104">
        <f t="shared" si="6"/>
        <v>209272.15000000002</v>
      </c>
      <c r="E66" s="104">
        <f t="shared" si="0"/>
        <v>1456.6200000000001</v>
      </c>
      <c r="F66" s="104">
        <v>2116.9</v>
      </c>
      <c r="G66" s="104">
        <v>660.28</v>
      </c>
      <c r="H66" s="120">
        <v>64.48</v>
      </c>
    </row>
    <row r="67" spans="2:8" x14ac:dyDescent="0.2">
      <c r="B67" s="15" t="s">
        <v>32</v>
      </c>
      <c r="C67" s="15">
        <v>2030</v>
      </c>
      <c r="D67" s="104">
        <f t="shared" si="6"/>
        <v>207810.97000000003</v>
      </c>
      <c r="E67" s="104">
        <f t="shared" si="0"/>
        <v>1461.18</v>
      </c>
      <c r="F67" s="104">
        <v>2116.9</v>
      </c>
      <c r="G67" s="104">
        <v>655.72</v>
      </c>
      <c r="H67" s="120">
        <v>64.48</v>
      </c>
    </row>
    <row r="68" spans="2:8" x14ac:dyDescent="0.2">
      <c r="B68" s="15" t="s">
        <v>33</v>
      </c>
      <c r="C68" s="15">
        <v>2030</v>
      </c>
      <c r="D68" s="104">
        <f t="shared" si="6"/>
        <v>206345.21000000002</v>
      </c>
      <c r="E68" s="104">
        <f t="shared" si="0"/>
        <v>1465.7600000000002</v>
      </c>
      <c r="F68" s="104">
        <v>2116.9</v>
      </c>
      <c r="G68" s="104">
        <v>651.14</v>
      </c>
      <c r="H68" s="120">
        <v>64.48</v>
      </c>
    </row>
    <row r="69" spans="2:8" x14ac:dyDescent="0.2">
      <c r="B69" s="15" t="s">
        <v>34</v>
      </c>
      <c r="C69" s="15">
        <v>2030</v>
      </c>
      <c r="D69" s="104">
        <f t="shared" si="6"/>
        <v>204874.86000000002</v>
      </c>
      <c r="E69" s="104">
        <f t="shared" si="0"/>
        <v>1470.3500000000001</v>
      </c>
      <c r="F69" s="104">
        <v>2116.9</v>
      </c>
      <c r="G69" s="104">
        <v>646.54999999999995</v>
      </c>
      <c r="H69" s="120">
        <v>64.48</v>
      </c>
    </row>
    <row r="70" spans="2:8" x14ac:dyDescent="0.2">
      <c r="B70" s="15" t="s">
        <v>35</v>
      </c>
      <c r="C70" s="15">
        <v>2030</v>
      </c>
      <c r="D70" s="104">
        <f>D69-E70</f>
        <v>203399.90000000002</v>
      </c>
      <c r="E70" s="104">
        <f t="shared" ref="E70:E133" si="7">F70-G70</f>
        <v>1474.96</v>
      </c>
      <c r="F70" s="104">
        <v>2116.9</v>
      </c>
      <c r="G70" s="104">
        <v>641.94000000000005</v>
      </c>
      <c r="H70" s="120">
        <v>64.48</v>
      </c>
    </row>
    <row r="71" spans="2:8" x14ac:dyDescent="0.2">
      <c r="B71" s="15" t="s">
        <v>36</v>
      </c>
      <c r="C71" s="15">
        <v>2030</v>
      </c>
      <c r="D71" s="104">
        <f>D70-E71</f>
        <v>201920.32000000004</v>
      </c>
      <c r="E71" s="104">
        <f t="shared" si="7"/>
        <v>1479.58</v>
      </c>
      <c r="F71" s="104">
        <v>2116.9</v>
      </c>
      <c r="G71" s="104">
        <v>637.32000000000005</v>
      </c>
      <c r="H71" s="120">
        <v>64.48</v>
      </c>
    </row>
    <row r="72" spans="2:8" x14ac:dyDescent="0.2">
      <c r="B72" s="15" t="s">
        <v>37</v>
      </c>
      <c r="C72" s="15">
        <v>2030</v>
      </c>
      <c r="D72" s="104">
        <f>D71-E72</f>
        <v>200436.10000000003</v>
      </c>
      <c r="E72" s="104">
        <f t="shared" si="7"/>
        <v>1484.2200000000003</v>
      </c>
      <c r="F72" s="104">
        <v>2116.9</v>
      </c>
      <c r="G72" s="104">
        <v>632.67999999999995</v>
      </c>
      <c r="H72" s="120">
        <v>64.48</v>
      </c>
    </row>
    <row r="73" spans="2:8" x14ac:dyDescent="0.2">
      <c r="B73" s="15" t="s">
        <v>38</v>
      </c>
      <c r="C73" s="15">
        <v>2030</v>
      </c>
      <c r="D73" s="104">
        <f>D72-E73</f>
        <v>198947.23000000004</v>
      </c>
      <c r="E73" s="104">
        <f t="shared" si="7"/>
        <v>1488.8700000000001</v>
      </c>
      <c r="F73" s="104">
        <v>2116.9</v>
      </c>
      <c r="G73" s="104">
        <v>628.03</v>
      </c>
      <c r="H73" s="120">
        <v>64.48</v>
      </c>
    </row>
    <row r="74" spans="2:8" x14ac:dyDescent="0.2">
      <c r="B74" s="15" t="s">
        <v>39</v>
      </c>
      <c r="C74" s="15">
        <v>2030</v>
      </c>
      <c r="D74" s="104">
        <f>D73-E74</f>
        <v>197453.70000000004</v>
      </c>
      <c r="E74" s="104">
        <f t="shared" si="7"/>
        <v>1493.5300000000002</v>
      </c>
      <c r="F74" s="104">
        <v>2116.9</v>
      </c>
      <c r="G74" s="104">
        <v>623.37</v>
      </c>
      <c r="H74" s="120">
        <v>64.48</v>
      </c>
    </row>
    <row r="75" spans="2:8" x14ac:dyDescent="0.2">
      <c r="B75" s="15" t="s">
        <v>40</v>
      </c>
      <c r="C75" s="15">
        <v>2030</v>
      </c>
      <c r="D75" s="104">
        <f t="shared" ref="D75:D80" si="8">D74-E75</f>
        <v>195955.49000000005</v>
      </c>
      <c r="E75" s="104">
        <f t="shared" si="7"/>
        <v>1498.21</v>
      </c>
      <c r="F75" s="104">
        <v>2116.9</v>
      </c>
      <c r="G75" s="104">
        <v>618.69000000000005</v>
      </c>
      <c r="H75" s="120">
        <v>64.48</v>
      </c>
    </row>
    <row r="76" spans="2:8" x14ac:dyDescent="0.2">
      <c r="B76" s="15" t="s">
        <v>41</v>
      </c>
      <c r="C76" s="15">
        <v>2030</v>
      </c>
      <c r="D76" s="104">
        <f t="shared" si="8"/>
        <v>194452.58000000005</v>
      </c>
      <c r="E76" s="104">
        <f t="shared" si="7"/>
        <v>1502.91</v>
      </c>
      <c r="F76" s="104">
        <v>2116.9</v>
      </c>
      <c r="G76" s="104">
        <v>613.99</v>
      </c>
      <c r="H76" s="120">
        <v>64.48</v>
      </c>
    </row>
    <row r="77" spans="2:8" x14ac:dyDescent="0.2">
      <c r="B77" s="15" t="s">
        <v>30</v>
      </c>
      <c r="C77" s="15">
        <v>2030</v>
      </c>
      <c r="D77" s="104">
        <f t="shared" si="8"/>
        <v>192944.96000000005</v>
      </c>
      <c r="E77" s="104">
        <f t="shared" si="7"/>
        <v>1507.6200000000001</v>
      </c>
      <c r="F77" s="104">
        <v>2116.9</v>
      </c>
      <c r="G77" s="104">
        <v>609.28</v>
      </c>
      <c r="H77" s="120">
        <v>64.48</v>
      </c>
    </row>
    <row r="78" spans="2:8" x14ac:dyDescent="0.2">
      <c r="B78" s="15" t="s">
        <v>31</v>
      </c>
      <c r="C78" s="15">
        <v>2030</v>
      </c>
      <c r="D78" s="104">
        <f t="shared" si="8"/>
        <v>191432.62000000005</v>
      </c>
      <c r="E78" s="104">
        <f t="shared" si="7"/>
        <v>1512.3400000000001</v>
      </c>
      <c r="F78" s="104">
        <v>2116.9</v>
      </c>
      <c r="G78" s="104">
        <v>604.55999999999995</v>
      </c>
      <c r="H78" s="120">
        <v>64.48</v>
      </c>
    </row>
    <row r="79" spans="2:8" x14ac:dyDescent="0.2">
      <c r="B79" s="15" t="s">
        <v>32</v>
      </c>
      <c r="C79" s="15">
        <v>2031</v>
      </c>
      <c r="D79" s="104">
        <f t="shared" si="8"/>
        <v>189915.54000000007</v>
      </c>
      <c r="E79" s="104">
        <f t="shared" si="7"/>
        <v>1517.08</v>
      </c>
      <c r="F79" s="104">
        <v>2116.9</v>
      </c>
      <c r="G79" s="104">
        <v>599.82000000000005</v>
      </c>
      <c r="H79" s="120">
        <v>64.48</v>
      </c>
    </row>
    <row r="80" spans="2:8" x14ac:dyDescent="0.2">
      <c r="B80" s="15" t="s">
        <v>33</v>
      </c>
      <c r="C80" s="15">
        <v>2031</v>
      </c>
      <c r="D80" s="104">
        <f t="shared" si="8"/>
        <v>188393.71000000008</v>
      </c>
      <c r="E80" s="104">
        <f t="shared" si="7"/>
        <v>1521.83</v>
      </c>
      <c r="F80" s="104">
        <v>2116.9</v>
      </c>
      <c r="G80" s="104">
        <v>595.07000000000005</v>
      </c>
      <c r="H80" s="120">
        <v>64.48</v>
      </c>
    </row>
    <row r="81" spans="2:8" x14ac:dyDescent="0.2">
      <c r="B81" s="15" t="s">
        <v>34</v>
      </c>
      <c r="C81" s="15">
        <v>2031</v>
      </c>
      <c r="D81" s="104">
        <f>D80-E81</f>
        <v>186867.11000000007</v>
      </c>
      <c r="E81" s="104">
        <f t="shared" si="7"/>
        <v>1526.6000000000001</v>
      </c>
      <c r="F81" s="104">
        <v>2116.9</v>
      </c>
      <c r="G81" s="104">
        <v>590.29999999999995</v>
      </c>
      <c r="H81" s="120">
        <v>64.48</v>
      </c>
    </row>
    <row r="82" spans="2:8" x14ac:dyDescent="0.2">
      <c r="B82" s="15" t="s">
        <v>35</v>
      </c>
      <c r="C82" s="15">
        <v>2031</v>
      </c>
      <c r="D82" s="104">
        <f>D81-E82</f>
        <v>185335.73000000007</v>
      </c>
      <c r="E82" s="104">
        <f t="shared" si="7"/>
        <v>1531.38</v>
      </c>
      <c r="F82" s="104">
        <v>2116.9</v>
      </c>
      <c r="G82" s="104">
        <v>585.52</v>
      </c>
      <c r="H82" s="120">
        <v>64.48</v>
      </c>
    </row>
    <row r="83" spans="2:8" x14ac:dyDescent="0.2">
      <c r="B83" s="15" t="s">
        <v>36</v>
      </c>
      <c r="C83" s="15">
        <v>2031</v>
      </c>
      <c r="D83" s="104">
        <f>D82-E83</f>
        <v>183799.55000000008</v>
      </c>
      <c r="E83" s="104">
        <f t="shared" si="7"/>
        <v>1536.18</v>
      </c>
      <c r="F83" s="104">
        <v>2116.9</v>
      </c>
      <c r="G83" s="104">
        <v>580.72</v>
      </c>
      <c r="H83" s="120">
        <v>64.48</v>
      </c>
    </row>
    <row r="84" spans="2:8" x14ac:dyDescent="0.2">
      <c r="B84" s="15" t="s">
        <v>37</v>
      </c>
      <c r="C84" s="15">
        <v>2031</v>
      </c>
      <c r="D84" s="104">
        <f t="shared" ref="D84:D92" si="9">D83-E84</f>
        <v>182258.56000000008</v>
      </c>
      <c r="E84" s="104">
        <f t="shared" si="7"/>
        <v>1540.9900000000002</v>
      </c>
      <c r="F84" s="104">
        <v>2116.9</v>
      </c>
      <c r="G84" s="104">
        <v>575.91</v>
      </c>
      <c r="H84" s="120">
        <v>64.48</v>
      </c>
    </row>
    <row r="85" spans="2:8" x14ac:dyDescent="0.2">
      <c r="B85" s="15" t="s">
        <v>38</v>
      </c>
      <c r="C85" s="15">
        <v>2031</v>
      </c>
      <c r="D85" s="104">
        <f t="shared" si="9"/>
        <v>180712.74000000008</v>
      </c>
      <c r="E85" s="104">
        <f t="shared" si="7"/>
        <v>1545.8200000000002</v>
      </c>
      <c r="F85" s="104">
        <v>2116.9</v>
      </c>
      <c r="G85" s="104">
        <v>571.08000000000004</v>
      </c>
      <c r="H85" s="120">
        <v>64.48</v>
      </c>
    </row>
    <row r="86" spans="2:8" x14ac:dyDescent="0.2">
      <c r="B86" s="15" t="s">
        <v>39</v>
      </c>
      <c r="C86" s="15">
        <v>2031</v>
      </c>
      <c r="D86" s="104">
        <f t="shared" si="9"/>
        <v>179162.07000000007</v>
      </c>
      <c r="E86" s="104">
        <f t="shared" si="7"/>
        <v>1550.67</v>
      </c>
      <c r="F86" s="104">
        <v>2116.9</v>
      </c>
      <c r="G86" s="104">
        <v>566.23</v>
      </c>
      <c r="H86" s="120">
        <v>64.48</v>
      </c>
    </row>
    <row r="87" spans="2:8" x14ac:dyDescent="0.2">
      <c r="B87" s="15" t="s">
        <v>40</v>
      </c>
      <c r="C87" s="15">
        <v>2031</v>
      </c>
      <c r="D87" s="104">
        <f t="shared" si="9"/>
        <v>177606.54000000007</v>
      </c>
      <c r="E87" s="104">
        <f t="shared" si="7"/>
        <v>1555.5300000000002</v>
      </c>
      <c r="F87" s="104">
        <v>2116.9</v>
      </c>
      <c r="G87" s="104">
        <v>561.37</v>
      </c>
      <c r="H87" s="120">
        <v>64.48</v>
      </c>
    </row>
    <row r="88" spans="2:8" x14ac:dyDescent="0.2">
      <c r="B88" s="15" t="s">
        <v>41</v>
      </c>
      <c r="C88" s="15">
        <v>2031</v>
      </c>
      <c r="D88" s="104">
        <f t="shared" si="9"/>
        <v>176046.14000000007</v>
      </c>
      <c r="E88" s="104">
        <f t="shared" si="7"/>
        <v>1560.4</v>
      </c>
      <c r="F88" s="104">
        <v>2116.9</v>
      </c>
      <c r="G88" s="104">
        <v>556.5</v>
      </c>
      <c r="H88" s="120">
        <v>64.48</v>
      </c>
    </row>
    <row r="89" spans="2:8" x14ac:dyDescent="0.2">
      <c r="B89" s="15" t="s">
        <v>30</v>
      </c>
      <c r="C89" s="15">
        <v>2031</v>
      </c>
      <c r="D89" s="104">
        <f t="shared" si="9"/>
        <v>174480.85000000006</v>
      </c>
      <c r="E89" s="104">
        <f t="shared" si="7"/>
        <v>1565.29</v>
      </c>
      <c r="F89" s="104">
        <v>2116.9</v>
      </c>
      <c r="G89" s="104">
        <v>551.61</v>
      </c>
      <c r="H89" s="120">
        <v>64.48</v>
      </c>
    </row>
    <row r="90" spans="2:8" x14ac:dyDescent="0.2">
      <c r="B90" s="15" t="s">
        <v>31</v>
      </c>
      <c r="C90" s="15">
        <v>2031</v>
      </c>
      <c r="D90" s="104">
        <f t="shared" si="9"/>
        <v>172910.66000000006</v>
      </c>
      <c r="E90" s="104">
        <f t="shared" si="7"/>
        <v>1570.19</v>
      </c>
      <c r="F90" s="104">
        <v>2116.9</v>
      </c>
      <c r="G90" s="104">
        <v>546.71</v>
      </c>
      <c r="H90" s="120">
        <v>64.48</v>
      </c>
    </row>
    <row r="91" spans="2:8" x14ac:dyDescent="0.2">
      <c r="B91" s="15" t="s">
        <v>32</v>
      </c>
      <c r="C91" s="15">
        <v>2032</v>
      </c>
      <c r="D91" s="104">
        <f t="shared" si="9"/>
        <v>171335.55000000008</v>
      </c>
      <c r="E91" s="104">
        <f t="shared" si="7"/>
        <v>1575.1100000000001</v>
      </c>
      <c r="F91" s="104">
        <v>2116.9</v>
      </c>
      <c r="G91" s="104">
        <v>541.79</v>
      </c>
      <c r="H91" s="120">
        <v>64.48</v>
      </c>
    </row>
    <row r="92" spans="2:8" x14ac:dyDescent="0.2">
      <c r="B92" s="15" t="s">
        <v>33</v>
      </c>
      <c r="C92" s="15">
        <v>2032</v>
      </c>
      <c r="D92" s="104">
        <f t="shared" si="9"/>
        <v>169755.50000000009</v>
      </c>
      <c r="E92" s="104">
        <f t="shared" si="7"/>
        <v>1580.0500000000002</v>
      </c>
      <c r="F92" s="104">
        <v>2116.9</v>
      </c>
      <c r="G92" s="104">
        <v>536.85</v>
      </c>
      <c r="H92" s="120">
        <v>64.48</v>
      </c>
    </row>
    <row r="93" spans="2:8" x14ac:dyDescent="0.2">
      <c r="B93" s="15" t="s">
        <v>34</v>
      </c>
      <c r="C93" s="15">
        <v>2032</v>
      </c>
      <c r="D93" s="104">
        <f>D92-E93</f>
        <v>168170.50000000009</v>
      </c>
      <c r="E93" s="104">
        <f t="shared" si="7"/>
        <v>1585</v>
      </c>
      <c r="F93" s="104">
        <v>2116.9</v>
      </c>
      <c r="G93" s="104">
        <v>531.9</v>
      </c>
      <c r="H93" s="120">
        <v>64.48</v>
      </c>
    </row>
    <row r="94" spans="2:8" x14ac:dyDescent="0.2">
      <c r="B94" s="15" t="s">
        <v>35</v>
      </c>
      <c r="C94" s="15">
        <v>2032</v>
      </c>
      <c r="D94" s="104">
        <f>D93-E94</f>
        <v>166580.53000000009</v>
      </c>
      <c r="E94" s="104">
        <f t="shared" si="7"/>
        <v>1589.9700000000003</v>
      </c>
      <c r="F94" s="104">
        <v>2116.9</v>
      </c>
      <c r="G94" s="104">
        <v>526.92999999999995</v>
      </c>
      <c r="H94" s="120">
        <v>64.48</v>
      </c>
    </row>
    <row r="95" spans="2:8" x14ac:dyDescent="0.2">
      <c r="B95" s="15" t="s">
        <v>36</v>
      </c>
      <c r="C95" s="15">
        <v>2032</v>
      </c>
      <c r="D95" s="104">
        <f>D94-E95</f>
        <v>164985.58000000007</v>
      </c>
      <c r="E95" s="104">
        <f t="shared" si="7"/>
        <v>1594.95</v>
      </c>
      <c r="F95" s="104">
        <v>2116.9</v>
      </c>
      <c r="G95" s="104">
        <v>521.95000000000005</v>
      </c>
      <c r="H95" s="120">
        <v>64.48</v>
      </c>
    </row>
    <row r="96" spans="2:8" x14ac:dyDescent="0.2">
      <c r="B96" s="15" t="s">
        <v>37</v>
      </c>
      <c r="C96" s="15">
        <v>2032</v>
      </c>
      <c r="D96" s="104">
        <f t="shared" ref="D96:D101" si="10">D95-E96</f>
        <v>163385.63000000006</v>
      </c>
      <c r="E96" s="104">
        <f t="shared" si="7"/>
        <v>1599.95</v>
      </c>
      <c r="F96" s="104">
        <v>2116.9</v>
      </c>
      <c r="G96" s="104">
        <v>516.95000000000005</v>
      </c>
      <c r="H96" s="120">
        <v>64.48</v>
      </c>
    </row>
    <row r="97" spans="2:8" x14ac:dyDescent="0.2">
      <c r="B97" s="15" t="s">
        <v>38</v>
      </c>
      <c r="C97" s="15">
        <v>2032</v>
      </c>
      <c r="D97" s="104">
        <f t="shared" si="10"/>
        <v>161780.67000000007</v>
      </c>
      <c r="E97" s="104">
        <f t="shared" si="7"/>
        <v>1604.96</v>
      </c>
      <c r="F97" s="104">
        <v>2116.9</v>
      </c>
      <c r="G97" s="104">
        <v>511.94</v>
      </c>
      <c r="H97" s="120">
        <v>64.48</v>
      </c>
    </row>
    <row r="98" spans="2:8" x14ac:dyDescent="0.2">
      <c r="B98" s="15" t="s">
        <v>39</v>
      </c>
      <c r="C98" s="15">
        <v>2032</v>
      </c>
      <c r="D98" s="104">
        <f t="shared" si="10"/>
        <v>160170.68000000008</v>
      </c>
      <c r="E98" s="104">
        <f t="shared" si="7"/>
        <v>1609.99</v>
      </c>
      <c r="F98" s="104">
        <v>2116.9</v>
      </c>
      <c r="G98" s="104">
        <v>506.91</v>
      </c>
      <c r="H98" s="120">
        <v>64.48</v>
      </c>
    </row>
    <row r="99" spans="2:8" x14ac:dyDescent="0.2">
      <c r="B99" s="15" t="s">
        <v>40</v>
      </c>
      <c r="C99" s="15">
        <v>2032</v>
      </c>
      <c r="D99" s="104">
        <f t="shared" si="10"/>
        <v>158555.65000000008</v>
      </c>
      <c r="E99" s="104">
        <f t="shared" si="7"/>
        <v>1615.0300000000002</v>
      </c>
      <c r="F99" s="104">
        <v>2116.9</v>
      </c>
      <c r="G99" s="104">
        <v>501.87</v>
      </c>
      <c r="H99" s="120">
        <v>64.48</v>
      </c>
    </row>
    <row r="100" spans="2:8" x14ac:dyDescent="0.2">
      <c r="B100" s="15" t="s">
        <v>41</v>
      </c>
      <c r="C100" s="15">
        <v>2032</v>
      </c>
      <c r="D100" s="104">
        <f t="shared" si="10"/>
        <v>156935.56000000008</v>
      </c>
      <c r="E100" s="104">
        <f t="shared" si="7"/>
        <v>1620.0900000000001</v>
      </c>
      <c r="F100" s="104">
        <v>2116.9</v>
      </c>
      <c r="G100" s="104">
        <v>496.81</v>
      </c>
      <c r="H100" s="120">
        <v>64.48</v>
      </c>
    </row>
    <row r="101" spans="2:8" x14ac:dyDescent="0.2">
      <c r="B101" s="15" t="s">
        <v>30</v>
      </c>
      <c r="C101" s="15">
        <v>2032</v>
      </c>
      <c r="D101" s="104">
        <f t="shared" si="10"/>
        <v>155310.39000000007</v>
      </c>
      <c r="E101" s="104">
        <f t="shared" si="7"/>
        <v>1625.17</v>
      </c>
      <c r="F101" s="104">
        <v>2116.9</v>
      </c>
      <c r="G101" s="104">
        <v>491.73</v>
      </c>
      <c r="H101" s="120">
        <v>64.48</v>
      </c>
    </row>
    <row r="102" spans="2:8" x14ac:dyDescent="0.2">
      <c r="B102" s="15" t="s">
        <v>31</v>
      </c>
      <c r="C102" s="15">
        <v>2032</v>
      </c>
      <c r="D102" s="104">
        <f>D101-E102</f>
        <v>153680.13000000006</v>
      </c>
      <c r="E102" s="104">
        <f t="shared" si="7"/>
        <v>1630.2600000000002</v>
      </c>
      <c r="F102" s="104">
        <v>2116.9</v>
      </c>
      <c r="G102" s="104">
        <v>486.64</v>
      </c>
      <c r="H102" s="120">
        <v>64.48</v>
      </c>
    </row>
    <row r="103" spans="2:8" x14ac:dyDescent="0.2">
      <c r="B103" s="15" t="s">
        <v>32</v>
      </c>
      <c r="C103" s="15">
        <v>2033</v>
      </c>
      <c r="D103" s="104">
        <f>D102-E103</f>
        <v>152044.76000000007</v>
      </c>
      <c r="E103" s="104">
        <f t="shared" si="7"/>
        <v>1635.3700000000001</v>
      </c>
      <c r="F103" s="104">
        <v>2116.9</v>
      </c>
      <c r="G103" s="104">
        <v>481.53</v>
      </c>
      <c r="H103" s="120">
        <v>64.48</v>
      </c>
    </row>
    <row r="104" spans="2:8" x14ac:dyDescent="0.2">
      <c r="B104" s="15" t="s">
        <v>33</v>
      </c>
      <c r="C104" s="15">
        <v>2033</v>
      </c>
      <c r="D104" s="104">
        <f>D103-E104</f>
        <v>150404.27000000008</v>
      </c>
      <c r="E104" s="104">
        <f t="shared" si="7"/>
        <v>1640.49</v>
      </c>
      <c r="F104" s="104">
        <v>2116.9</v>
      </c>
      <c r="G104" s="104">
        <v>476.41</v>
      </c>
      <c r="H104" s="120">
        <v>64.48</v>
      </c>
    </row>
    <row r="105" spans="2:8" x14ac:dyDescent="0.2">
      <c r="B105" s="15" t="s">
        <v>34</v>
      </c>
      <c r="C105" s="15">
        <v>2033</v>
      </c>
      <c r="D105" s="104">
        <f t="shared" ref="D105:D113" si="11">D104-E105</f>
        <v>148758.64000000007</v>
      </c>
      <c r="E105" s="104">
        <f t="shared" si="7"/>
        <v>1645.63</v>
      </c>
      <c r="F105" s="104">
        <v>2116.9</v>
      </c>
      <c r="G105" s="104">
        <v>471.27</v>
      </c>
      <c r="H105" s="120">
        <v>64.48</v>
      </c>
    </row>
    <row r="106" spans="2:8" x14ac:dyDescent="0.2">
      <c r="B106" s="15" t="s">
        <v>35</v>
      </c>
      <c r="C106" s="15">
        <v>2033</v>
      </c>
      <c r="D106" s="104">
        <f t="shared" si="11"/>
        <v>147107.85000000006</v>
      </c>
      <c r="E106" s="104">
        <f t="shared" si="7"/>
        <v>1650.79</v>
      </c>
      <c r="F106" s="104">
        <v>2116.9</v>
      </c>
      <c r="G106" s="104">
        <v>466.11</v>
      </c>
      <c r="H106" s="120">
        <v>64.48</v>
      </c>
    </row>
    <row r="107" spans="2:8" x14ac:dyDescent="0.2">
      <c r="B107" s="15" t="s">
        <v>36</v>
      </c>
      <c r="C107" s="15">
        <v>2033</v>
      </c>
      <c r="D107" s="104">
        <f t="shared" si="11"/>
        <v>145451.89000000007</v>
      </c>
      <c r="E107" s="104">
        <f t="shared" si="7"/>
        <v>1655.96</v>
      </c>
      <c r="F107" s="104">
        <v>2116.9</v>
      </c>
      <c r="G107" s="104">
        <v>460.94</v>
      </c>
      <c r="H107" s="120">
        <v>64.48</v>
      </c>
    </row>
    <row r="108" spans="2:8" x14ac:dyDescent="0.2">
      <c r="B108" s="15" t="s">
        <v>37</v>
      </c>
      <c r="C108" s="15">
        <v>2033</v>
      </c>
      <c r="D108" s="104">
        <f t="shared" si="11"/>
        <v>143790.74000000008</v>
      </c>
      <c r="E108" s="104">
        <f t="shared" si="7"/>
        <v>1661.15</v>
      </c>
      <c r="F108" s="104">
        <v>2116.9</v>
      </c>
      <c r="G108" s="104">
        <v>455.75</v>
      </c>
      <c r="H108" s="120">
        <v>64.48</v>
      </c>
    </row>
    <row r="109" spans="2:8" x14ac:dyDescent="0.2">
      <c r="B109" s="15" t="s">
        <v>38</v>
      </c>
      <c r="C109" s="15">
        <v>2033</v>
      </c>
      <c r="D109" s="104">
        <f t="shared" si="11"/>
        <v>142124.38000000009</v>
      </c>
      <c r="E109" s="104">
        <f t="shared" si="7"/>
        <v>1666.3600000000001</v>
      </c>
      <c r="F109" s="104">
        <v>2116.9</v>
      </c>
      <c r="G109" s="104">
        <v>450.54</v>
      </c>
      <c r="H109" s="120">
        <v>64.48</v>
      </c>
    </row>
    <row r="110" spans="2:8" x14ac:dyDescent="0.2">
      <c r="B110" s="15" t="s">
        <v>39</v>
      </c>
      <c r="C110" s="15">
        <v>2033</v>
      </c>
      <c r="D110" s="104">
        <f t="shared" si="11"/>
        <v>140452.8000000001</v>
      </c>
      <c r="E110" s="104">
        <f t="shared" si="7"/>
        <v>1671.5800000000002</v>
      </c>
      <c r="F110" s="104">
        <v>2116.9</v>
      </c>
      <c r="G110" s="104">
        <v>445.32</v>
      </c>
      <c r="H110" s="120">
        <v>64.48</v>
      </c>
    </row>
    <row r="111" spans="2:8" x14ac:dyDescent="0.2">
      <c r="B111" s="15" t="s">
        <v>40</v>
      </c>
      <c r="C111" s="15">
        <v>2033</v>
      </c>
      <c r="D111" s="104">
        <f t="shared" si="11"/>
        <v>138775.99000000011</v>
      </c>
      <c r="E111" s="104">
        <f t="shared" si="7"/>
        <v>1676.8100000000002</v>
      </c>
      <c r="F111" s="104">
        <v>2116.9</v>
      </c>
      <c r="G111" s="104">
        <v>440.09</v>
      </c>
      <c r="H111" s="120">
        <v>64.48</v>
      </c>
    </row>
    <row r="112" spans="2:8" x14ac:dyDescent="0.2">
      <c r="B112" s="15" t="s">
        <v>41</v>
      </c>
      <c r="C112" s="15">
        <v>2033</v>
      </c>
      <c r="D112" s="104">
        <f t="shared" si="11"/>
        <v>137093.9200000001</v>
      </c>
      <c r="E112" s="104">
        <f t="shared" si="7"/>
        <v>1682.0700000000002</v>
      </c>
      <c r="F112" s="104">
        <v>2116.9</v>
      </c>
      <c r="G112" s="104">
        <v>434.83</v>
      </c>
      <c r="H112" s="120">
        <v>64.48</v>
      </c>
    </row>
    <row r="113" spans="2:8" x14ac:dyDescent="0.2">
      <c r="B113" s="15" t="s">
        <v>30</v>
      </c>
      <c r="C113" s="15">
        <v>2033</v>
      </c>
      <c r="D113" s="104">
        <f t="shared" si="11"/>
        <v>135406.5800000001</v>
      </c>
      <c r="E113" s="104">
        <f t="shared" si="7"/>
        <v>1687.3400000000001</v>
      </c>
      <c r="F113" s="104">
        <v>2116.9</v>
      </c>
      <c r="G113" s="104">
        <v>429.56</v>
      </c>
      <c r="H113" s="120">
        <v>64.48</v>
      </c>
    </row>
    <row r="114" spans="2:8" x14ac:dyDescent="0.2">
      <c r="B114" s="15" t="s">
        <v>31</v>
      </c>
      <c r="C114" s="15">
        <v>2033</v>
      </c>
      <c r="D114" s="104">
        <f>D113-E114</f>
        <v>133713.9500000001</v>
      </c>
      <c r="E114" s="104">
        <f t="shared" si="7"/>
        <v>1692.63</v>
      </c>
      <c r="F114" s="104">
        <v>2116.9</v>
      </c>
      <c r="G114" s="104">
        <v>424.27</v>
      </c>
      <c r="H114" s="120">
        <v>64.48</v>
      </c>
    </row>
    <row r="115" spans="2:8" x14ac:dyDescent="0.2">
      <c r="B115" s="15" t="s">
        <v>32</v>
      </c>
      <c r="C115" s="15">
        <v>2034</v>
      </c>
      <c r="D115" s="104">
        <f>D114-E115</f>
        <v>132016.02000000011</v>
      </c>
      <c r="E115" s="104">
        <f t="shared" si="7"/>
        <v>1697.93</v>
      </c>
      <c r="F115" s="104">
        <v>2116.9</v>
      </c>
      <c r="G115" s="104">
        <v>418.97</v>
      </c>
      <c r="H115" s="120">
        <v>64.48</v>
      </c>
    </row>
    <row r="116" spans="2:8" x14ac:dyDescent="0.2">
      <c r="B116" s="15" t="s">
        <v>33</v>
      </c>
      <c r="C116" s="15">
        <v>2034</v>
      </c>
      <c r="D116" s="104">
        <f>D115-E116</f>
        <v>130312.77000000011</v>
      </c>
      <c r="E116" s="104">
        <f t="shared" si="7"/>
        <v>1703.25</v>
      </c>
      <c r="F116" s="104">
        <v>2116.9</v>
      </c>
      <c r="G116" s="104">
        <v>413.65</v>
      </c>
      <c r="H116" s="120">
        <v>64.48</v>
      </c>
    </row>
    <row r="117" spans="2:8" x14ac:dyDescent="0.2">
      <c r="B117" s="15" t="s">
        <v>34</v>
      </c>
      <c r="C117" s="15">
        <v>2034</v>
      </c>
      <c r="D117" s="104">
        <f>D116-E117</f>
        <v>128604.18000000011</v>
      </c>
      <c r="E117" s="104">
        <f t="shared" si="7"/>
        <v>1708.5900000000001</v>
      </c>
      <c r="F117" s="104">
        <v>2116.9</v>
      </c>
      <c r="G117" s="104">
        <v>408.31</v>
      </c>
      <c r="H117" s="120">
        <v>64.48</v>
      </c>
    </row>
    <row r="118" spans="2:8" x14ac:dyDescent="0.2">
      <c r="B118" s="15" t="s">
        <v>35</v>
      </c>
      <c r="C118" s="15">
        <v>2034</v>
      </c>
      <c r="D118" s="104">
        <f>D117-E118</f>
        <v>126890.24000000011</v>
      </c>
      <c r="E118" s="104">
        <f t="shared" si="7"/>
        <v>1713.94</v>
      </c>
      <c r="F118" s="104">
        <v>2116.9</v>
      </c>
      <c r="G118" s="104">
        <v>402.96</v>
      </c>
      <c r="H118" s="120">
        <v>64.48</v>
      </c>
    </row>
    <row r="119" spans="2:8" x14ac:dyDescent="0.2">
      <c r="B119" s="15" t="s">
        <v>36</v>
      </c>
      <c r="C119" s="15">
        <v>2034</v>
      </c>
      <c r="D119" s="104">
        <f t="shared" ref="D119:D127" si="12">D118-E119</f>
        <v>125170.93000000011</v>
      </c>
      <c r="E119" s="104">
        <f t="shared" si="7"/>
        <v>1719.3100000000002</v>
      </c>
      <c r="F119" s="104">
        <v>2116.9</v>
      </c>
      <c r="G119" s="104">
        <v>397.59</v>
      </c>
      <c r="H119" s="120">
        <v>64.48</v>
      </c>
    </row>
    <row r="120" spans="2:8" x14ac:dyDescent="0.2">
      <c r="B120" s="15" t="s">
        <v>37</v>
      </c>
      <c r="C120" s="15">
        <v>2034</v>
      </c>
      <c r="D120" s="104">
        <f t="shared" si="12"/>
        <v>123446.23000000011</v>
      </c>
      <c r="E120" s="104">
        <f t="shared" si="7"/>
        <v>1724.7</v>
      </c>
      <c r="F120" s="104">
        <v>2116.9</v>
      </c>
      <c r="G120" s="104">
        <v>392.2</v>
      </c>
      <c r="H120" s="120">
        <v>64.48</v>
      </c>
    </row>
    <row r="121" spans="2:8" x14ac:dyDescent="0.2">
      <c r="B121" s="15" t="s">
        <v>38</v>
      </c>
      <c r="C121" s="15">
        <v>2034</v>
      </c>
      <c r="D121" s="104">
        <f t="shared" si="12"/>
        <v>121716.13000000011</v>
      </c>
      <c r="E121" s="104">
        <f t="shared" si="7"/>
        <v>1730.1000000000001</v>
      </c>
      <c r="F121" s="104">
        <v>2116.9</v>
      </c>
      <c r="G121" s="104">
        <v>386.8</v>
      </c>
      <c r="H121" s="120">
        <v>64.48</v>
      </c>
    </row>
    <row r="122" spans="2:8" x14ac:dyDescent="0.2">
      <c r="B122" s="15" t="s">
        <v>39</v>
      </c>
      <c r="C122" s="15">
        <v>2034</v>
      </c>
      <c r="D122" s="104">
        <f t="shared" si="12"/>
        <v>119980.6100000001</v>
      </c>
      <c r="E122" s="104">
        <f t="shared" si="7"/>
        <v>1735.52</v>
      </c>
      <c r="F122" s="104">
        <v>2116.9</v>
      </c>
      <c r="G122" s="104">
        <v>381.38</v>
      </c>
      <c r="H122" s="120">
        <v>64.48</v>
      </c>
    </row>
    <row r="123" spans="2:8" x14ac:dyDescent="0.2">
      <c r="B123" s="15" t="s">
        <v>40</v>
      </c>
      <c r="C123" s="15">
        <v>2034</v>
      </c>
      <c r="D123" s="104">
        <f t="shared" si="12"/>
        <v>118239.6500000001</v>
      </c>
      <c r="E123" s="104">
        <f t="shared" si="7"/>
        <v>1740.96</v>
      </c>
      <c r="F123" s="104">
        <v>2116.9</v>
      </c>
      <c r="G123" s="104">
        <v>375.94</v>
      </c>
      <c r="H123" s="120">
        <v>64.48</v>
      </c>
    </row>
    <row r="124" spans="2:8" x14ac:dyDescent="0.2">
      <c r="B124" s="15" t="s">
        <v>41</v>
      </c>
      <c r="C124" s="15">
        <v>2034</v>
      </c>
      <c r="D124" s="104">
        <f t="shared" si="12"/>
        <v>116493.2300000001</v>
      </c>
      <c r="E124" s="104">
        <f t="shared" si="7"/>
        <v>1746.42</v>
      </c>
      <c r="F124" s="104">
        <v>2116.9</v>
      </c>
      <c r="G124" s="104">
        <v>370.48</v>
      </c>
      <c r="H124" s="120">
        <v>64.48</v>
      </c>
    </row>
    <row r="125" spans="2:8" x14ac:dyDescent="0.2">
      <c r="B125" s="15" t="s">
        <v>30</v>
      </c>
      <c r="C125" s="15">
        <v>2034</v>
      </c>
      <c r="D125" s="104">
        <f t="shared" si="12"/>
        <v>114741.3400000001</v>
      </c>
      <c r="E125" s="104">
        <f t="shared" si="7"/>
        <v>1751.89</v>
      </c>
      <c r="F125" s="104">
        <v>2116.9</v>
      </c>
      <c r="G125" s="104">
        <v>365.01</v>
      </c>
      <c r="H125" s="120">
        <v>64.48</v>
      </c>
    </row>
    <row r="126" spans="2:8" x14ac:dyDescent="0.2">
      <c r="B126" s="15" t="s">
        <v>31</v>
      </c>
      <c r="C126" s="15">
        <v>2034</v>
      </c>
      <c r="D126" s="104">
        <f t="shared" si="12"/>
        <v>112983.96000000009</v>
      </c>
      <c r="E126" s="104">
        <f t="shared" si="7"/>
        <v>1757.38</v>
      </c>
      <c r="F126" s="104">
        <v>2116.9</v>
      </c>
      <c r="G126" s="104">
        <v>359.52</v>
      </c>
      <c r="H126" s="120">
        <v>64.48</v>
      </c>
    </row>
    <row r="127" spans="2:8" x14ac:dyDescent="0.2">
      <c r="B127" s="15" t="s">
        <v>32</v>
      </c>
      <c r="C127" s="15">
        <v>2035</v>
      </c>
      <c r="D127" s="104">
        <f t="shared" si="12"/>
        <v>111221.08000000009</v>
      </c>
      <c r="E127" s="104">
        <f t="shared" si="7"/>
        <v>1762.88</v>
      </c>
      <c r="F127" s="104">
        <v>2116.9</v>
      </c>
      <c r="G127" s="104">
        <v>354.02</v>
      </c>
      <c r="H127" s="120">
        <v>64.48</v>
      </c>
    </row>
    <row r="128" spans="2:8" x14ac:dyDescent="0.2">
      <c r="B128" s="15" t="s">
        <v>33</v>
      </c>
      <c r="C128" s="15">
        <v>2035</v>
      </c>
      <c r="D128" s="104">
        <f>D127-E128</f>
        <v>109452.67000000009</v>
      </c>
      <c r="E128" s="104">
        <f t="shared" si="7"/>
        <v>1768.41</v>
      </c>
      <c r="F128" s="104">
        <v>2116.9</v>
      </c>
      <c r="G128" s="104">
        <v>348.49</v>
      </c>
      <c r="H128" s="120">
        <v>64.48</v>
      </c>
    </row>
    <row r="129" spans="2:8" x14ac:dyDescent="0.2">
      <c r="B129" s="15" t="s">
        <v>34</v>
      </c>
      <c r="C129" s="15">
        <v>2035</v>
      </c>
      <c r="D129" s="104">
        <f>D128-E129</f>
        <v>107678.72000000009</v>
      </c>
      <c r="E129" s="104">
        <f t="shared" si="7"/>
        <v>1773.95</v>
      </c>
      <c r="F129" s="104">
        <v>2116.9</v>
      </c>
      <c r="G129" s="104">
        <v>342.95</v>
      </c>
      <c r="H129" s="120">
        <v>64.48</v>
      </c>
    </row>
    <row r="130" spans="2:8" x14ac:dyDescent="0.2">
      <c r="B130" s="15" t="s">
        <v>35</v>
      </c>
      <c r="C130" s="15">
        <v>2035</v>
      </c>
      <c r="D130" s="104">
        <f>D129-E130</f>
        <v>105899.21000000009</v>
      </c>
      <c r="E130" s="104">
        <f t="shared" si="7"/>
        <v>1779.5100000000002</v>
      </c>
      <c r="F130" s="104">
        <v>2116.9</v>
      </c>
      <c r="G130" s="104">
        <v>337.39</v>
      </c>
      <c r="H130" s="120">
        <v>64.48</v>
      </c>
    </row>
    <row r="131" spans="2:8" x14ac:dyDescent="0.2">
      <c r="B131" s="15" t="s">
        <v>36</v>
      </c>
      <c r="C131" s="15">
        <v>2035</v>
      </c>
      <c r="D131" s="104">
        <f t="shared" ref="D131:D138" si="13">D130-E131</f>
        <v>104114.13000000009</v>
      </c>
      <c r="E131" s="104">
        <f t="shared" si="7"/>
        <v>1785.0800000000002</v>
      </c>
      <c r="F131" s="104">
        <v>2116.9</v>
      </c>
      <c r="G131" s="104">
        <v>331.82</v>
      </c>
      <c r="H131" s="120">
        <v>64.48</v>
      </c>
    </row>
    <row r="132" spans="2:8" x14ac:dyDescent="0.2">
      <c r="B132" s="15" t="s">
        <v>37</v>
      </c>
      <c r="C132" s="15">
        <v>2035</v>
      </c>
      <c r="D132" s="104">
        <f t="shared" si="13"/>
        <v>102323.4500000001</v>
      </c>
      <c r="E132" s="104">
        <f t="shared" si="7"/>
        <v>1790.68</v>
      </c>
      <c r="F132" s="104">
        <v>2116.9</v>
      </c>
      <c r="G132" s="104">
        <v>326.22000000000003</v>
      </c>
      <c r="H132" s="120">
        <v>64.48</v>
      </c>
    </row>
    <row r="133" spans="2:8" x14ac:dyDescent="0.2">
      <c r="B133" s="15" t="s">
        <v>38</v>
      </c>
      <c r="C133" s="15">
        <v>2035</v>
      </c>
      <c r="D133" s="104">
        <f t="shared" si="13"/>
        <v>100527.16000000011</v>
      </c>
      <c r="E133" s="104">
        <f t="shared" si="7"/>
        <v>1796.29</v>
      </c>
      <c r="F133" s="104">
        <v>2116.9</v>
      </c>
      <c r="G133" s="104">
        <v>320.61</v>
      </c>
      <c r="H133" s="120">
        <v>64.48</v>
      </c>
    </row>
    <row r="134" spans="2:8" x14ac:dyDescent="0.2">
      <c r="B134" s="15" t="s">
        <v>39</v>
      </c>
      <c r="C134" s="15">
        <v>2035</v>
      </c>
      <c r="D134" s="104">
        <f t="shared" si="13"/>
        <v>98725.250000000102</v>
      </c>
      <c r="E134" s="104">
        <f t="shared" ref="E134:E197" si="14">F134-G134</f>
        <v>1801.91</v>
      </c>
      <c r="F134" s="104">
        <v>2116.9</v>
      </c>
      <c r="G134" s="104">
        <v>314.99</v>
      </c>
      <c r="H134" s="120">
        <v>64.48</v>
      </c>
    </row>
    <row r="135" spans="2:8" x14ac:dyDescent="0.2">
      <c r="B135" s="15" t="s">
        <v>40</v>
      </c>
      <c r="C135" s="15">
        <v>2035</v>
      </c>
      <c r="D135" s="104">
        <f t="shared" si="13"/>
        <v>96917.690000000104</v>
      </c>
      <c r="E135" s="104">
        <f t="shared" si="14"/>
        <v>1807.5600000000002</v>
      </c>
      <c r="F135" s="104">
        <v>2116.9</v>
      </c>
      <c r="G135" s="104">
        <v>309.33999999999997</v>
      </c>
      <c r="H135" s="120">
        <v>64.48</v>
      </c>
    </row>
    <row r="136" spans="2:8" x14ac:dyDescent="0.2">
      <c r="B136" s="15" t="s">
        <v>41</v>
      </c>
      <c r="C136" s="15">
        <v>2035</v>
      </c>
      <c r="D136" s="104">
        <f t="shared" si="13"/>
        <v>95104.470000000103</v>
      </c>
      <c r="E136" s="104">
        <f t="shared" si="14"/>
        <v>1813.22</v>
      </c>
      <c r="F136" s="104">
        <v>2116.9</v>
      </c>
      <c r="G136" s="104">
        <v>303.68</v>
      </c>
      <c r="H136" s="120">
        <v>64.48</v>
      </c>
    </row>
    <row r="137" spans="2:8" x14ac:dyDescent="0.2">
      <c r="B137" s="15" t="s">
        <v>30</v>
      </c>
      <c r="C137" s="15">
        <v>2035</v>
      </c>
      <c r="D137" s="104">
        <f t="shared" si="13"/>
        <v>93285.5600000001</v>
      </c>
      <c r="E137" s="104">
        <f t="shared" si="14"/>
        <v>1818.91</v>
      </c>
      <c r="F137" s="104">
        <v>2116.9</v>
      </c>
      <c r="G137" s="104">
        <v>297.99</v>
      </c>
      <c r="H137" s="120">
        <v>64.48</v>
      </c>
    </row>
    <row r="138" spans="2:8" x14ac:dyDescent="0.2">
      <c r="B138" s="15" t="s">
        <v>31</v>
      </c>
      <c r="C138" s="15">
        <v>2035</v>
      </c>
      <c r="D138" s="104">
        <f t="shared" si="13"/>
        <v>91460.950000000099</v>
      </c>
      <c r="E138" s="104">
        <f t="shared" si="14"/>
        <v>1824.6100000000001</v>
      </c>
      <c r="F138" s="104">
        <v>2116.9</v>
      </c>
      <c r="G138" s="104">
        <v>292.29000000000002</v>
      </c>
      <c r="H138" s="120">
        <v>64.48</v>
      </c>
    </row>
    <row r="139" spans="2:8" x14ac:dyDescent="0.2">
      <c r="B139" s="15" t="s">
        <v>32</v>
      </c>
      <c r="C139" s="15">
        <v>2036</v>
      </c>
      <c r="D139" s="104">
        <f>D138-E139</f>
        <v>89630.630000000092</v>
      </c>
      <c r="E139" s="104">
        <f t="shared" si="14"/>
        <v>1830.3200000000002</v>
      </c>
      <c r="F139" s="104">
        <v>2116.9</v>
      </c>
      <c r="G139" s="104">
        <v>286.58</v>
      </c>
      <c r="H139" s="120">
        <v>64.48</v>
      </c>
    </row>
    <row r="140" spans="2:8" x14ac:dyDescent="0.2">
      <c r="B140" s="15" t="s">
        <v>33</v>
      </c>
      <c r="C140" s="15">
        <v>2036</v>
      </c>
      <c r="D140" s="104">
        <f>D139-E140</f>
        <v>87794.570000000094</v>
      </c>
      <c r="E140" s="104">
        <f t="shared" si="14"/>
        <v>1836.0600000000002</v>
      </c>
      <c r="F140" s="104">
        <v>2116.9</v>
      </c>
      <c r="G140" s="104">
        <v>280.83999999999997</v>
      </c>
      <c r="H140" s="120">
        <v>64.48</v>
      </c>
    </row>
    <row r="141" spans="2:8" x14ac:dyDescent="0.2">
      <c r="B141" s="15" t="s">
        <v>34</v>
      </c>
      <c r="C141" s="15">
        <v>2036</v>
      </c>
      <c r="D141" s="104">
        <f>D140-E141</f>
        <v>85952.760000000097</v>
      </c>
      <c r="E141" s="104">
        <f t="shared" si="14"/>
        <v>1841.8100000000002</v>
      </c>
      <c r="F141" s="104">
        <v>2116.9</v>
      </c>
      <c r="G141" s="104">
        <v>275.08999999999997</v>
      </c>
      <c r="H141" s="120">
        <v>64.48</v>
      </c>
    </row>
    <row r="142" spans="2:8" x14ac:dyDescent="0.2">
      <c r="B142" s="15" t="s">
        <v>35</v>
      </c>
      <c r="C142" s="15">
        <v>2036</v>
      </c>
      <c r="D142" s="104">
        <f t="shared" ref="D142" si="15">D141-E142</f>
        <v>84105.180000000095</v>
      </c>
      <c r="E142" s="104">
        <f t="shared" si="14"/>
        <v>1847.5800000000002</v>
      </c>
      <c r="F142" s="104">
        <v>2116.9</v>
      </c>
      <c r="G142" s="104">
        <v>269.32</v>
      </c>
      <c r="H142" s="120">
        <v>64.48</v>
      </c>
    </row>
    <row r="143" spans="2:8" x14ac:dyDescent="0.2">
      <c r="B143" s="15" t="s">
        <v>36</v>
      </c>
      <c r="C143" s="15">
        <v>2036</v>
      </c>
      <c r="D143" s="104">
        <f>D142-E143</f>
        <v>82251.8100000001</v>
      </c>
      <c r="E143" s="104">
        <f t="shared" si="14"/>
        <v>1853.3700000000001</v>
      </c>
      <c r="F143" s="104">
        <v>2116.9</v>
      </c>
      <c r="G143" s="104">
        <v>263.52999999999997</v>
      </c>
      <c r="H143" s="120">
        <v>64.48</v>
      </c>
    </row>
    <row r="144" spans="2:8" x14ac:dyDescent="0.2">
      <c r="B144" s="15" t="s">
        <v>37</v>
      </c>
      <c r="C144" s="15">
        <v>2036</v>
      </c>
      <c r="D144" s="104">
        <f>D143-E144</f>
        <v>80392.630000000107</v>
      </c>
      <c r="E144" s="104">
        <f t="shared" si="14"/>
        <v>1859.18</v>
      </c>
      <c r="F144" s="104">
        <v>2116.9</v>
      </c>
      <c r="G144" s="104">
        <v>257.72000000000003</v>
      </c>
      <c r="H144" s="120">
        <v>64.48</v>
      </c>
    </row>
    <row r="145" spans="2:8" x14ac:dyDescent="0.2">
      <c r="B145" s="15" t="s">
        <v>38</v>
      </c>
      <c r="C145" s="15">
        <v>2036</v>
      </c>
      <c r="D145" s="104">
        <f>D144-E145</f>
        <v>78527.630000000107</v>
      </c>
      <c r="E145" s="104">
        <f t="shared" si="14"/>
        <v>1865</v>
      </c>
      <c r="F145" s="104">
        <v>2116.9</v>
      </c>
      <c r="G145" s="104">
        <v>251.9</v>
      </c>
      <c r="H145" s="120">
        <v>64.48</v>
      </c>
    </row>
    <row r="146" spans="2:8" x14ac:dyDescent="0.2">
      <c r="B146" s="15" t="s">
        <v>39</v>
      </c>
      <c r="C146" s="15">
        <v>2036</v>
      </c>
      <c r="D146" s="104">
        <f>D145-E146</f>
        <v>76656.780000000101</v>
      </c>
      <c r="E146" s="104">
        <f t="shared" si="14"/>
        <v>1870.8500000000001</v>
      </c>
      <c r="F146" s="104">
        <v>2116.9</v>
      </c>
      <c r="G146" s="104">
        <v>246.05</v>
      </c>
      <c r="H146" s="120">
        <v>64.48</v>
      </c>
    </row>
    <row r="147" spans="2:8" x14ac:dyDescent="0.2">
      <c r="B147" s="15" t="s">
        <v>40</v>
      </c>
      <c r="C147" s="15">
        <v>2036</v>
      </c>
      <c r="D147" s="104">
        <f>D146-E147</f>
        <v>74780.070000000094</v>
      </c>
      <c r="E147" s="104">
        <f t="shared" si="14"/>
        <v>1876.71</v>
      </c>
      <c r="F147" s="104">
        <v>2116.9</v>
      </c>
      <c r="G147" s="104">
        <v>240.19</v>
      </c>
      <c r="H147" s="120">
        <v>64.48</v>
      </c>
    </row>
    <row r="148" spans="2:8" x14ac:dyDescent="0.2">
      <c r="B148" s="15" t="s">
        <v>41</v>
      </c>
      <c r="C148" s="15">
        <v>2036</v>
      </c>
      <c r="D148" s="104">
        <f t="shared" ref="D148:D153" si="16">D147-E148</f>
        <v>72897.480000000098</v>
      </c>
      <c r="E148" s="104">
        <f t="shared" si="14"/>
        <v>1882.5900000000001</v>
      </c>
      <c r="F148" s="104">
        <v>2116.9</v>
      </c>
      <c r="G148" s="104">
        <v>234.31</v>
      </c>
      <c r="H148" s="120">
        <v>64.48</v>
      </c>
    </row>
    <row r="149" spans="2:8" x14ac:dyDescent="0.2">
      <c r="B149" s="15" t="s">
        <v>30</v>
      </c>
      <c r="C149" s="15">
        <v>2036</v>
      </c>
      <c r="D149" s="104">
        <f t="shared" si="16"/>
        <v>71008.990000000093</v>
      </c>
      <c r="E149" s="104">
        <f t="shared" si="14"/>
        <v>1888.49</v>
      </c>
      <c r="F149" s="104">
        <v>2116.9</v>
      </c>
      <c r="G149" s="104">
        <v>228.41</v>
      </c>
      <c r="H149" s="120">
        <v>64.48</v>
      </c>
    </row>
    <row r="150" spans="2:8" x14ac:dyDescent="0.2">
      <c r="B150" s="15" t="s">
        <v>31</v>
      </c>
      <c r="C150" s="15">
        <v>2036</v>
      </c>
      <c r="D150" s="104">
        <f t="shared" si="16"/>
        <v>69114.580000000089</v>
      </c>
      <c r="E150" s="104">
        <f t="shared" si="14"/>
        <v>1894.41</v>
      </c>
      <c r="F150" s="104">
        <v>2116.9</v>
      </c>
      <c r="G150" s="104">
        <v>222.49</v>
      </c>
      <c r="H150" s="120">
        <v>64.48</v>
      </c>
    </row>
    <row r="151" spans="2:8" x14ac:dyDescent="0.2">
      <c r="B151" s="15" t="s">
        <v>32</v>
      </c>
      <c r="C151" s="15">
        <v>2037</v>
      </c>
      <c r="D151" s="104">
        <f t="shared" si="16"/>
        <v>67214.240000000093</v>
      </c>
      <c r="E151" s="104">
        <f t="shared" si="14"/>
        <v>1900.3400000000001</v>
      </c>
      <c r="F151" s="104">
        <v>2116.9</v>
      </c>
      <c r="G151" s="104">
        <v>216.56</v>
      </c>
      <c r="H151" s="120">
        <v>64.48</v>
      </c>
    </row>
    <row r="152" spans="2:8" x14ac:dyDescent="0.2">
      <c r="B152" s="15" t="s">
        <v>33</v>
      </c>
      <c r="C152" s="15">
        <v>2037</v>
      </c>
      <c r="D152" s="104">
        <f t="shared" si="16"/>
        <v>65307.94000000009</v>
      </c>
      <c r="E152" s="104">
        <f t="shared" si="14"/>
        <v>1906.3000000000002</v>
      </c>
      <c r="F152" s="104">
        <v>2116.9</v>
      </c>
      <c r="G152" s="104">
        <v>210.6</v>
      </c>
      <c r="H152" s="120">
        <v>64.48</v>
      </c>
    </row>
    <row r="153" spans="2:8" x14ac:dyDescent="0.2">
      <c r="B153" s="15" t="s">
        <v>34</v>
      </c>
      <c r="C153" s="15">
        <v>2037</v>
      </c>
      <c r="D153" s="104">
        <f t="shared" si="16"/>
        <v>63395.670000000093</v>
      </c>
      <c r="E153" s="104">
        <f t="shared" si="14"/>
        <v>1912.27</v>
      </c>
      <c r="F153" s="104">
        <v>2116.9</v>
      </c>
      <c r="G153" s="104">
        <v>204.63</v>
      </c>
      <c r="H153" s="120">
        <v>64.48</v>
      </c>
    </row>
    <row r="154" spans="2:8" x14ac:dyDescent="0.2">
      <c r="B154" s="15" t="s">
        <v>35</v>
      </c>
      <c r="C154" s="15">
        <v>2037</v>
      </c>
      <c r="D154" s="104">
        <f>D153-E154</f>
        <v>61477.410000000091</v>
      </c>
      <c r="E154" s="104">
        <f t="shared" si="14"/>
        <v>1918.2600000000002</v>
      </c>
      <c r="F154" s="104">
        <v>2116.9</v>
      </c>
      <c r="G154" s="104">
        <v>198.64</v>
      </c>
      <c r="H154" s="120">
        <v>64.48</v>
      </c>
    </row>
    <row r="155" spans="2:8" x14ac:dyDescent="0.2">
      <c r="B155" s="15" t="s">
        <v>36</v>
      </c>
      <c r="C155" s="15">
        <v>2037</v>
      </c>
      <c r="D155" s="104">
        <f>D154-E155</f>
        <v>59553.140000000094</v>
      </c>
      <c r="E155" s="104">
        <f t="shared" si="14"/>
        <v>1924.27</v>
      </c>
      <c r="F155" s="104">
        <v>2116.9</v>
      </c>
      <c r="G155" s="104">
        <v>192.63</v>
      </c>
      <c r="H155" s="120">
        <v>64.48</v>
      </c>
    </row>
    <row r="156" spans="2:8" x14ac:dyDescent="0.2">
      <c r="B156" s="15" t="s">
        <v>37</v>
      </c>
      <c r="C156" s="15">
        <v>2037</v>
      </c>
      <c r="D156" s="104">
        <f>D155-E156</f>
        <v>57622.840000000091</v>
      </c>
      <c r="E156" s="104">
        <f t="shared" si="14"/>
        <v>1930.3000000000002</v>
      </c>
      <c r="F156" s="104">
        <v>2116.9</v>
      </c>
      <c r="G156" s="104">
        <v>186.6</v>
      </c>
      <c r="H156" s="120">
        <v>64.48</v>
      </c>
    </row>
    <row r="157" spans="2:8" x14ac:dyDescent="0.2">
      <c r="B157" s="15" t="s">
        <v>38</v>
      </c>
      <c r="C157" s="15">
        <v>2037</v>
      </c>
      <c r="D157" s="104">
        <f t="shared" ref="D157:D165" si="17">D156-E157</f>
        <v>55686.490000000093</v>
      </c>
      <c r="E157" s="104">
        <f t="shared" si="14"/>
        <v>1936.3500000000001</v>
      </c>
      <c r="F157" s="104">
        <v>2116.9</v>
      </c>
      <c r="G157" s="104">
        <v>180.55</v>
      </c>
      <c r="H157" s="120">
        <v>64.48</v>
      </c>
    </row>
    <row r="158" spans="2:8" x14ac:dyDescent="0.2">
      <c r="B158" s="15" t="s">
        <v>39</v>
      </c>
      <c r="C158" s="15">
        <v>2037</v>
      </c>
      <c r="D158" s="104">
        <f t="shared" si="17"/>
        <v>53744.070000000094</v>
      </c>
      <c r="E158" s="104">
        <f t="shared" si="14"/>
        <v>1942.42</v>
      </c>
      <c r="F158" s="104">
        <v>2116.9</v>
      </c>
      <c r="G158" s="104">
        <v>174.48</v>
      </c>
      <c r="H158" s="120">
        <v>64.48</v>
      </c>
    </row>
    <row r="159" spans="2:8" x14ac:dyDescent="0.2">
      <c r="B159" s="15" t="s">
        <v>40</v>
      </c>
      <c r="C159" s="15">
        <v>2037</v>
      </c>
      <c r="D159" s="104">
        <f t="shared" si="17"/>
        <v>51795.570000000094</v>
      </c>
      <c r="E159" s="104">
        <f t="shared" si="14"/>
        <v>1948.5</v>
      </c>
      <c r="F159" s="104">
        <v>2116.9</v>
      </c>
      <c r="G159" s="104">
        <v>168.4</v>
      </c>
      <c r="H159" s="120">
        <v>64.48</v>
      </c>
    </row>
    <row r="160" spans="2:8" x14ac:dyDescent="0.2">
      <c r="B160" s="15" t="s">
        <v>41</v>
      </c>
      <c r="C160" s="15">
        <v>2037</v>
      </c>
      <c r="D160" s="104">
        <f t="shared" si="17"/>
        <v>49840.960000000094</v>
      </c>
      <c r="E160" s="104">
        <f t="shared" si="14"/>
        <v>1954.6100000000001</v>
      </c>
      <c r="F160" s="104">
        <v>2116.9</v>
      </c>
      <c r="G160" s="104">
        <v>162.29</v>
      </c>
      <c r="H160" s="120">
        <v>64.48</v>
      </c>
    </row>
    <row r="161" spans="2:8" x14ac:dyDescent="0.2">
      <c r="B161" s="15" t="s">
        <v>30</v>
      </c>
      <c r="C161" s="15">
        <v>2037</v>
      </c>
      <c r="D161" s="104">
        <f t="shared" si="17"/>
        <v>47880.230000000091</v>
      </c>
      <c r="E161" s="104">
        <f t="shared" si="14"/>
        <v>1960.73</v>
      </c>
      <c r="F161" s="104">
        <v>2116.9</v>
      </c>
      <c r="G161" s="104">
        <v>156.16999999999999</v>
      </c>
      <c r="H161" s="120">
        <v>64.48</v>
      </c>
    </row>
    <row r="162" spans="2:8" x14ac:dyDescent="0.2">
      <c r="B162" s="15" t="s">
        <v>31</v>
      </c>
      <c r="C162" s="15">
        <v>2037</v>
      </c>
      <c r="D162" s="104">
        <f t="shared" si="17"/>
        <v>45913.350000000093</v>
      </c>
      <c r="E162" s="104">
        <f t="shared" si="14"/>
        <v>1966.88</v>
      </c>
      <c r="F162" s="104">
        <v>2116.9</v>
      </c>
      <c r="G162" s="104">
        <v>150.02000000000001</v>
      </c>
      <c r="H162" s="120">
        <v>64.48</v>
      </c>
    </row>
    <row r="163" spans="2:8" x14ac:dyDescent="0.2">
      <c r="B163" s="15" t="s">
        <v>32</v>
      </c>
      <c r="C163" s="15">
        <v>2038</v>
      </c>
      <c r="D163" s="104">
        <f t="shared" si="17"/>
        <v>43940.310000000092</v>
      </c>
      <c r="E163" s="104">
        <f t="shared" si="14"/>
        <v>1973.04</v>
      </c>
      <c r="F163" s="104">
        <v>2116.9</v>
      </c>
      <c r="G163" s="104">
        <v>143.86000000000001</v>
      </c>
      <c r="H163" s="120">
        <v>64.48</v>
      </c>
    </row>
    <row r="164" spans="2:8" x14ac:dyDescent="0.2">
      <c r="B164" s="15" t="s">
        <v>33</v>
      </c>
      <c r="C164" s="15">
        <v>2038</v>
      </c>
      <c r="D164" s="104">
        <f t="shared" si="17"/>
        <v>41961.090000000091</v>
      </c>
      <c r="E164" s="104">
        <f t="shared" si="14"/>
        <v>1979.22</v>
      </c>
      <c r="F164" s="104">
        <v>2116.9</v>
      </c>
      <c r="G164" s="104">
        <v>137.68</v>
      </c>
      <c r="H164" s="120">
        <v>64.48</v>
      </c>
    </row>
    <row r="165" spans="2:8" x14ac:dyDescent="0.2">
      <c r="B165" s="15" t="s">
        <v>34</v>
      </c>
      <c r="C165" s="15">
        <v>2038</v>
      </c>
      <c r="D165" s="104">
        <f t="shared" si="17"/>
        <v>39975.670000000093</v>
      </c>
      <c r="E165" s="104">
        <f t="shared" si="14"/>
        <v>1985.42</v>
      </c>
      <c r="F165" s="104">
        <v>2116.9</v>
      </c>
      <c r="G165" s="104">
        <v>131.47999999999999</v>
      </c>
      <c r="H165" s="120">
        <v>64.48</v>
      </c>
    </row>
    <row r="166" spans="2:8" x14ac:dyDescent="0.2">
      <c r="B166" s="15" t="s">
        <v>35</v>
      </c>
      <c r="C166" s="15">
        <v>2038</v>
      </c>
      <c r="D166" s="104">
        <f>D165-E166</f>
        <v>37984.030000000093</v>
      </c>
      <c r="E166" s="104">
        <f t="shared" si="14"/>
        <v>1991.64</v>
      </c>
      <c r="F166" s="104">
        <v>2116.9</v>
      </c>
      <c r="G166" s="104">
        <v>125.26</v>
      </c>
      <c r="H166" s="120">
        <v>64.48</v>
      </c>
    </row>
    <row r="167" spans="2:8" x14ac:dyDescent="0.2">
      <c r="B167" s="15" t="s">
        <v>36</v>
      </c>
      <c r="C167" s="15">
        <v>2038</v>
      </c>
      <c r="D167" s="104">
        <f>D166-E167</f>
        <v>35986.150000000096</v>
      </c>
      <c r="E167" s="104">
        <f t="shared" si="14"/>
        <v>1997.88</v>
      </c>
      <c r="F167" s="104">
        <v>2116.9</v>
      </c>
      <c r="G167" s="104">
        <v>119.02</v>
      </c>
      <c r="H167" s="120">
        <v>64.48</v>
      </c>
    </row>
    <row r="168" spans="2:8" x14ac:dyDescent="0.2">
      <c r="B168" s="15" t="s">
        <v>37</v>
      </c>
      <c r="C168" s="15">
        <v>2038</v>
      </c>
      <c r="D168" s="104">
        <f>D167-E168</f>
        <v>33982.010000000097</v>
      </c>
      <c r="E168" s="104">
        <f t="shared" si="14"/>
        <v>2004.14</v>
      </c>
      <c r="F168" s="104">
        <v>2116.9</v>
      </c>
      <c r="G168" s="104">
        <v>112.76</v>
      </c>
      <c r="H168" s="120">
        <v>64.48</v>
      </c>
    </row>
    <row r="169" spans="2:8" x14ac:dyDescent="0.2">
      <c r="B169" s="15" t="s">
        <v>38</v>
      </c>
      <c r="C169" s="15">
        <v>2038</v>
      </c>
      <c r="D169" s="104">
        <f>D168-E169</f>
        <v>31971.590000000098</v>
      </c>
      <c r="E169" s="104">
        <f t="shared" si="14"/>
        <v>2010.42</v>
      </c>
      <c r="F169" s="104">
        <v>2116.9</v>
      </c>
      <c r="G169" s="104">
        <v>106.48</v>
      </c>
      <c r="H169" s="120">
        <v>64.48</v>
      </c>
    </row>
    <row r="170" spans="2:8" x14ac:dyDescent="0.2">
      <c r="B170" s="15" t="s">
        <v>39</v>
      </c>
      <c r="C170" s="15">
        <v>2038</v>
      </c>
      <c r="D170" s="104">
        <f>D169-E170</f>
        <v>29954.870000000097</v>
      </c>
      <c r="E170" s="104">
        <f t="shared" si="14"/>
        <v>2016.72</v>
      </c>
      <c r="F170" s="104">
        <v>2116.9</v>
      </c>
      <c r="G170" s="104">
        <v>100.18</v>
      </c>
      <c r="H170" s="120">
        <v>64.48</v>
      </c>
    </row>
    <row r="171" spans="2:8" x14ac:dyDescent="0.2">
      <c r="B171" s="15" t="s">
        <v>40</v>
      </c>
      <c r="C171" s="15">
        <v>2038</v>
      </c>
      <c r="D171" s="104">
        <f t="shared" ref="D171:D179" si="18">D170-E171</f>
        <v>27931.830000000096</v>
      </c>
      <c r="E171" s="104">
        <f t="shared" si="14"/>
        <v>2023.0400000000002</v>
      </c>
      <c r="F171" s="104">
        <v>2116.9</v>
      </c>
      <c r="G171" s="104">
        <v>93.86</v>
      </c>
      <c r="H171" s="120">
        <v>64.48</v>
      </c>
    </row>
    <row r="172" spans="2:8" x14ac:dyDescent="0.2">
      <c r="B172" s="15" t="s">
        <v>41</v>
      </c>
      <c r="C172" s="15">
        <v>2038</v>
      </c>
      <c r="D172" s="104">
        <f t="shared" si="18"/>
        <v>25902.450000000095</v>
      </c>
      <c r="E172" s="104">
        <f t="shared" si="14"/>
        <v>2029.38</v>
      </c>
      <c r="F172" s="104">
        <v>2116.9</v>
      </c>
      <c r="G172" s="104">
        <v>87.52</v>
      </c>
      <c r="H172" s="120">
        <v>64.48</v>
      </c>
    </row>
    <row r="173" spans="2:8" x14ac:dyDescent="0.2">
      <c r="B173" s="15" t="s">
        <v>30</v>
      </c>
      <c r="C173" s="15">
        <v>2038</v>
      </c>
      <c r="D173" s="104">
        <f t="shared" si="18"/>
        <v>23866.710000000094</v>
      </c>
      <c r="E173" s="104">
        <f t="shared" si="14"/>
        <v>2035.74</v>
      </c>
      <c r="F173" s="104">
        <v>2116.9</v>
      </c>
      <c r="G173" s="104">
        <v>81.16</v>
      </c>
      <c r="H173" s="120">
        <v>64.48</v>
      </c>
    </row>
    <row r="174" spans="2:8" x14ac:dyDescent="0.2">
      <c r="B174" s="15" t="s">
        <v>31</v>
      </c>
      <c r="C174" s="15">
        <v>2038</v>
      </c>
      <c r="D174" s="104">
        <f t="shared" si="18"/>
        <v>21824.590000000095</v>
      </c>
      <c r="E174" s="104">
        <f t="shared" si="14"/>
        <v>2042.1200000000001</v>
      </c>
      <c r="F174" s="104">
        <v>2116.9</v>
      </c>
      <c r="G174" s="104">
        <v>74.78</v>
      </c>
      <c r="H174" s="120">
        <v>64.48</v>
      </c>
    </row>
    <row r="175" spans="2:8" x14ac:dyDescent="0.2">
      <c r="B175" s="15" t="s">
        <v>32</v>
      </c>
      <c r="C175" s="15">
        <v>2039</v>
      </c>
      <c r="D175" s="104">
        <f t="shared" si="18"/>
        <v>19776.070000000094</v>
      </c>
      <c r="E175" s="104">
        <f t="shared" si="14"/>
        <v>2048.52</v>
      </c>
      <c r="F175" s="104">
        <v>2116.9</v>
      </c>
      <c r="G175" s="104">
        <v>68.38</v>
      </c>
      <c r="H175" s="120">
        <v>64.48</v>
      </c>
    </row>
    <row r="176" spans="2:8" x14ac:dyDescent="0.2">
      <c r="B176" s="15" t="s">
        <v>33</v>
      </c>
      <c r="C176" s="15">
        <v>2039</v>
      </c>
      <c r="D176" s="104">
        <f t="shared" si="18"/>
        <v>17721.140000000094</v>
      </c>
      <c r="E176" s="104">
        <f t="shared" si="14"/>
        <v>2054.9300000000003</v>
      </c>
      <c r="F176" s="104">
        <v>2116.9</v>
      </c>
      <c r="G176" s="104">
        <v>61.97</v>
      </c>
      <c r="H176" s="120">
        <v>64.48</v>
      </c>
    </row>
    <row r="177" spans="2:8" x14ac:dyDescent="0.2">
      <c r="B177" s="15" t="s">
        <v>34</v>
      </c>
      <c r="C177" s="15">
        <v>2039</v>
      </c>
      <c r="D177" s="104">
        <f t="shared" si="18"/>
        <v>15659.770000000095</v>
      </c>
      <c r="E177" s="104">
        <f t="shared" si="14"/>
        <v>2061.37</v>
      </c>
      <c r="F177" s="104">
        <v>2116.9</v>
      </c>
      <c r="G177" s="104">
        <v>55.53</v>
      </c>
      <c r="H177" s="120">
        <v>64.48</v>
      </c>
    </row>
    <row r="178" spans="2:8" x14ac:dyDescent="0.2">
      <c r="B178" s="15" t="s">
        <v>35</v>
      </c>
      <c r="C178" s="15">
        <v>2039</v>
      </c>
      <c r="D178" s="104">
        <f t="shared" si="18"/>
        <v>13591.940000000095</v>
      </c>
      <c r="E178" s="104">
        <f t="shared" si="14"/>
        <v>2067.83</v>
      </c>
      <c r="F178" s="104">
        <v>2116.9</v>
      </c>
      <c r="G178" s="104">
        <v>49.07</v>
      </c>
      <c r="H178" s="120">
        <v>64.48</v>
      </c>
    </row>
    <row r="179" spans="2:8" x14ac:dyDescent="0.2">
      <c r="B179" s="15" t="s">
        <v>36</v>
      </c>
      <c r="C179" s="15">
        <v>2039</v>
      </c>
      <c r="D179" s="104">
        <f t="shared" si="18"/>
        <v>11517.630000000096</v>
      </c>
      <c r="E179" s="104">
        <f t="shared" si="14"/>
        <v>2074.31</v>
      </c>
      <c r="F179" s="104">
        <v>2116.9</v>
      </c>
      <c r="G179" s="104">
        <v>42.59</v>
      </c>
      <c r="H179" s="120">
        <v>64.48</v>
      </c>
    </row>
    <row r="180" spans="2:8" x14ac:dyDescent="0.2">
      <c r="B180" s="15" t="s">
        <v>37</v>
      </c>
      <c r="C180" s="15">
        <v>2039</v>
      </c>
      <c r="D180" s="104">
        <f>D179-E180</f>
        <v>9436.8200000000961</v>
      </c>
      <c r="E180" s="104">
        <f t="shared" si="14"/>
        <v>2080.81</v>
      </c>
      <c r="F180" s="104">
        <v>2116.9</v>
      </c>
      <c r="G180" s="104">
        <v>36.090000000000003</v>
      </c>
      <c r="H180" s="120">
        <v>64.48</v>
      </c>
    </row>
    <row r="181" spans="2:8" x14ac:dyDescent="0.2">
      <c r="B181" s="15" t="s">
        <v>38</v>
      </c>
      <c r="C181" s="15">
        <v>2039</v>
      </c>
      <c r="D181" s="104">
        <f>D180-E181</f>
        <v>7349.4900000000962</v>
      </c>
      <c r="E181" s="104">
        <f t="shared" si="14"/>
        <v>2087.33</v>
      </c>
      <c r="F181" s="104">
        <v>2116.9</v>
      </c>
      <c r="G181" s="104">
        <v>29.57</v>
      </c>
      <c r="H181" s="120">
        <v>64.48</v>
      </c>
    </row>
    <row r="182" spans="2:8" x14ac:dyDescent="0.2">
      <c r="B182" s="15" t="s">
        <v>39</v>
      </c>
      <c r="C182" s="15">
        <v>2039</v>
      </c>
      <c r="D182" s="104">
        <f>D181-E182</f>
        <v>5255.6200000000963</v>
      </c>
      <c r="E182" s="104">
        <f t="shared" si="14"/>
        <v>2093.87</v>
      </c>
      <c r="F182" s="104">
        <v>2116.9</v>
      </c>
      <c r="G182" s="104">
        <v>23.03</v>
      </c>
      <c r="H182" s="120">
        <v>64.48</v>
      </c>
    </row>
    <row r="183" spans="2:8" x14ac:dyDescent="0.2">
      <c r="B183" s="15" t="s">
        <v>40</v>
      </c>
      <c r="C183" s="15">
        <v>2039</v>
      </c>
      <c r="D183" s="104">
        <f>D182-E183</f>
        <v>3155.190000000096</v>
      </c>
      <c r="E183" s="104">
        <f t="shared" si="14"/>
        <v>2100.4300000000003</v>
      </c>
      <c r="F183" s="104">
        <v>2116.9</v>
      </c>
      <c r="G183" s="104">
        <v>16.47</v>
      </c>
      <c r="H183" s="120">
        <v>64.48</v>
      </c>
    </row>
    <row r="184" spans="2:8" x14ac:dyDescent="0.2">
      <c r="B184" s="15" t="s">
        <v>41</v>
      </c>
      <c r="C184" s="15">
        <v>2039</v>
      </c>
      <c r="D184" s="104">
        <f>D183-E184</f>
        <v>1048.1800000000958</v>
      </c>
      <c r="E184" s="104">
        <f t="shared" si="14"/>
        <v>2107.0100000000002</v>
      </c>
      <c r="F184" s="104">
        <v>2116.9</v>
      </c>
      <c r="G184" s="104">
        <v>9.89</v>
      </c>
      <c r="H184" s="120">
        <v>64.48</v>
      </c>
    </row>
    <row r="185" spans="2:8" x14ac:dyDescent="0.2">
      <c r="B185" s="15" t="s">
        <v>30</v>
      </c>
      <c r="C185" s="15">
        <v>2039</v>
      </c>
      <c r="D185" s="104">
        <v>0</v>
      </c>
      <c r="E185" s="104">
        <f t="shared" si="14"/>
        <v>2113.62</v>
      </c>
      <c r="F185" s="104">
        <v>2116.9</v>
      </c>
      <c r="G185" s="104">
        <v>3.28</v>
      </c>
      <c r="H185" s="120">
        <v>64.48</v>
      </c>
    </row>
    <row r="186" spans="2:8" x14ac:dyDescent="0.2">
      <c r="B186" s="15" t="s">
        <v>31</v>
      </c>
      <c r="C186" s="15">
        <v>2039</v>
      </c>
      <c r="D186" s="104">
        <v>0</v>
      </c>
      <c r="E186" s="104">
        <f t="shared" si="14"/>
        <v>2116.9</v>
      </c>
      <c r="F186" s="104">
        <v>2116.9</v>
      </c>
      <c r="G186" s="104">
        <v>0</v>
      </c>
      <c r="H186" s="120">
        <v>64.48</v>
      </c>
    </row>
    <row r="187" spans="2:8" x14ac:dyDescent="0.2">
      <c r="B187" s="15" t="s">
        <v>32</v>
      </c>
      <c r="C187" s="15">
        <v>2040</v>
      </c>
      <c r="D187" s="104">
        <v>0</v>
      </c>
      <c r="E187" s="104">
        <f t="shared" si="14"/>
        <v>2116.9</v>
      </c>
      <c r="F187" s="104">
        <v>2116.9</v>
      </c>
      <c r="G187" s="104">
        <v>0</v>
      </c>
      <c r="H187" s="120">
        <v>64.48</v>
      </c>
    </row>
    <row r="188" spans="2:8" x14ac:dyDescent="0.2">
      <c r="B188" s="15" t="s">
        <v>33</v>
      </c>
      <c r="C188" s="15">
        <v>2040</v>
      </c>
      <c r="D188" s="104">
        <v>0</v>
      </c>
      <c r="E188" s="104">
        <f t="shared" si="14"/>
        <v>2116.9</v>
      </c>
      <c r="F188" s="104">
        <v>2116.9</v>
      </c>
      <c r="G188" s="104">
        <v>0</v>
      </c>
      <c r="H188" s="120">
        <v>64.48</v>
      </c>
    </row>
    <row r="189" spans="2:8" x14ac:dyDescent="0.2">
      <c r="B189" s="15" t="s">
        <v>34</v>
      </c>
      <c r="C189" s="15">
        <v>2040</v>
      </c>
      <c r="D189" s="104">
        <v>0</v>
      </c>
      <c r="E189" s="104">
        <f t="shared" si="14"/>
        <v>2116.9</v>
      </c>
      <c r="F189" s="104">
        <v>2116.9</v>
      </c>
      <c r="G189" s="104">
        <v>0</v>
      </c>
      <c r="H189" s="120">
        <v>64.48</v>
      </c>
    </row>
    <row r="190" spans="2:8" x14ac:dyDescent="0.2">
      <c r="B190" s="15" t="s">
        <v>35</v>
      </c>
      <c r="C190" s="15">
        <v>2040</v>
      </c>
      <c r="D190" s="104">
        <v>0</v>
      </c>
      <c r="E190" s="104">
        <f t="shared" si="14"/>
        <v>2116.9</v>
      </c>
      <c r="F190" s="104">
        <v>2116.9</v>
      </c>
      <c r="G190" s="104">
        <v>0</v>
      </c>
      <c r="H190" s="120">
        <v>64.48</v>
      </c>
    </row>
    <row r="191" spans="2:8" x14ac:dyDescent="0.2">
      <c r="B191" s="15" t="s">
        <v>36</v>
      </c>
      <c r="C191" s="15">
        <v>2040</v>
      </c>
      <c r="D191" s="104">
        <v>0</v>
      </c>
      <c r="E191" s="104">
        <f t="shared" si="14"/>
        <v>2116.9</v>
      </c>
      <c r="F191" s="104">
        <v>2116.9</v>
      </c>
      <c r="G191" s="104">
        <v>0</v>
      </c>
      <c r="H191" s="120">
        <v>64.48</v>
      </c>
    </row>
    <row r="192" spans="2:8" x14ac:dyDescent="0.2">
      <c r="B192" s="15" t="s">
        <v>37</v>
      </c>
      <c r="C192" s="15">
        <v>2040</v>
      </c>
      <c r="D192" s="104">
        <v>0</v>
      </c>
      <c r="E192" s="104">
        <f t="shared" si="14"/>
        <v>2116.9</v>
      </c>
      <c r="F192" s="104">
        <v>2116.9</v>
      </c>
      <c r="G192" s="104">
        <v>0</v>
      </c>
      <c r="H192" s="120">
        <v>64.48</v>
      </c>
    </row>
    <row r="193" spans="2:8" x14ac:dyDescent="0.2">
      <c r="B193" s="15" t="s">
        <v>38</v>
      </c>
      <c r="C193" s="15">
        <v>2040</v>
      </c>
      <c r="D193" s="104">
        <v>0</v>
      </c>
      <c r="E193" s="104">
        <f t="shared" si="14"/>
        <v>2116.9</v>
      </c>
      <c r="F193" s="104">
        <v>2116.9</v>
      </c>
      <c r="G193" s="104">
        <v>0</v>
      </c>
      <c r="H193" s="120">
        <v>64.48</v>
      </c>
    </row>
    <row r="194" spans="2:8" x14ac:dyDescent="0.2">
      <c r="B194" s="15" t="s">
        <v>39</v>
      </c>
      <c r="C194" s="15">
        <v>2040</v>
      </c>
      <c r="D194" s="104">
        <v>0</v>
      </c>
      <c r="E194" s="104">
        <f t="shared" si="14"/>
        <v>2116.9</v>
      </c>
      <c r="F194" s="104">
        <v>2116.9</v>
      </c>
      <c r="G194" s="104">
        <v>0</v>
      </c>
      <c r="H194" s="120">
        <v>64.48</v>
      </c>
    </row>
    <row r="195" spans="2:8" x14ac:dyDescent="0.2">
      <c r="B195" s="15" t="s">
        <v>40</v>
      </c>
      <c r="C195" s="15">
        <v>2040</v>
      </c>
      <c r="D195" s="104">
        <v>0</v>
      </c>
      <c r="E195" s="104">
        <f t="shared" si="14"/>
        <v>2116.9</v>
      </c>
      <c r="F195" s="104">
        <v>2116.9</v>
      </c>
      <c r="G195" s="104">
        <v>0</v>
      </c>
      <c r="H195" s="120">
        <v>64.48</v>
      </c>
    </row>
    <row r="196" spans="2:8" x14ac:dyDescent="0.2">
      <c r="B196" s="15" t="s">
        <v>41</v>
      </c>
      <c r="C196" s="15">
        <v>2040</v>
      </c>
      <c r="D196" s="104">
        <v>0</v>
      </c>
      <c r="E196" s="104">
        <f t="shared" si="14"/>
        <v>2116.9</v>
      </c>
      <c r="F196" s="104">
        <v>2116.9</v>
      </c>
      <c r="G196" s="104">
        <v>0</v>
      </c>
      <c r="H196" s="120">
        <v>64.48</v>
      </c>
    </row>
    <row r="197" spans="2:8" x14ac:dyDescent="0.2">
      <c r="B197" s="15" t="s">
        <v>30</v>
      </c>
      <c r="C197" s="15">
        <v>2040</v>
      </c>
      <c r="D197" s="104">
        <v>0</v>
      </c>
      <c r="E197" s="104">
        <f t="shared" si="14"/>
        <v>2116.9</v>
      </c>
      <c r="F197" s="104">
        <v>2116.9</v>
      </c>
      <c r="G197" s="104">
        <v>0</v>
      </c>
      <c r="H197" s="120">
        <v>64.48</v>
      </c>
    </row>
    <row r="198" spans="2:8" x14ac:dyDescent="0.2">
      <c r="B198" s="15" t="s">
        <v>31</v>
      </c>
      <c r="C198" s="15">
        <v>2040</v>
      </c>
      <c r="D198" s="104">
        <v>0</v>
      </c>
      <c r="E198" s="104">
        <f t="shared" ref="E198:E261" si="19">F198-G198</f>
        <v>2116.9</v>
      </c>
      <c r="F198" s="104">
        <v>2116.9</v>
      </c>
      <c r="G198" s="104">
        <v>0</v>
      </c>
      <c r="H198" s="120">
        <v>64.48</v>
      </c>
    </row>
    <row r="199" spans="2:8" x14ac:dyDescent="0.2">
      <c r="B199" s="15" t="s">
        <v>32</v>
      </c>
      <c r="C199" s="15">
        <v>2041</v>
      </c>
      <c r="D199" s="104">
        <v>0</v>
      </c>
      <c r="E199" s="104">
        <f t="shared" si="19"/>
        <v>2116.9</v>
      </c>
      <c r="F199" s="104">
        <v>2116.9</v>
      </c>
      <c r="G199" s="104">
        <v>0</v>
      </c>
      <c r="H199" s="120">
        <v>64.48</v>
      </c>
    </row>
    <row r="200" spans="2:8" x14ac:dyDescent="0.2">
      <c r="B200" s="15" t="s">
        <v>33</v>
      </c>
      <c r="C200" s="15">
        <v>2041</v>
      </c>
      <c r="D200" s="104">
        <v>0</v>
      </c>
      <c r="E200" s="104">
        <f t="shared" si="19"/>
        <v>2116.9</v>
      </c>
      <c r="F200" s="104">
        <v>2116.9</v>
      </c>
      <c r="G200" s="104">
        <v>0</v>
      </c>
      <c r="H200" s="120">
        <v>64.48</v>
      </c>
    </row>
    <row r="201" spans="2:8" x14ac:dyDescent="0.2">
      <c r="B201" s="15" t="s">
        <v>34</v>
      </c>
      <c r="C201" s="15">
        <v>2041</v>
      </c>
      <c r="D201" s="104">
        <v>0</v>
      </c>
      <c r="E201" s="104">
        <f t="shared" si="19"/>
        <v>2116.9</v>
      </c>
      <c r="F201" s="104">
        <v>2116.9</v>
      </c>
      <c r="G201" s="104">
        <v>0</v>
      </c>
      <c r="H201" s="120">
        <v>64.48</v>
      </c>
    </row>
    <row r="202" spans="2:8" x14ac:dyDescent="0.2">
      <c r="B202" s="15" t="s">
        <v>35</v>
      </c>
      <c r="C202" s="15">
        <v>2041</v>
      </c>
      <c r="D202" s="104">
        <v>0</v>
      </c>
      <c r="E202" s="104">
        <f t="shared" si="19"/>
        <v>2116.9</v>
      </c>
      <c r="F202" s="104">
        <v>2116.9</v>
      </c>
      <c r="G202" s="104">
        <v>0</v>
      </c>
      <c r="H202" s="120">
        <v>64.48</v>
      </c>
    </row>
    <row r="203" spans="2:8" x14ac:dyDescent="0.2">
      <c r="B203" s="15" t="s">
        <v>36</v>
      </c>
      <c r="C203" s="15">
        <v>2041</v>
      </c>
      <c r="D203" s="104">
        <v>0</v>
      </c>
      <c r="E203" s="104">
        <f t="shared" si="19"/>
        <v>2116.9</v>
      </c>
      <c r="F203" s="104">
        <v>2116.9</v>
      </c>
      <c r="G203" s="104">
        <v>0</v>
      </c>
      <c r="H203" s="120">
        <v>64.48</v>
      </c>
    </row>
    <row r="204" spans="2:8" x14ac:dyDescent="0.2">
      <c r="B204" s="15" t="s">
        <v>37</v>
      </c>
      <c r="C204" s="15">
        <v>2041</v>
      </c>
      <c r="D204" s="104">
        <v>0</v>
      </c>
      <c r="E204" s="104">
        <f t="shared" si="19"/>
        <v>2116.9</v>
      </c>
      <c r="F204" s="104">
        <v>2116.9</v>
      </c>
      <c r="G204" s="104">
        <v>0</v>
      </c>
      <c r="H204" s="120">
        <v>64.48</v>
      </c>
    </row>
    <row r="205" spans="2:8" x14ac:dyDescent="0.2">
      <c r="B205" s="15" t="s">
        <v>38</v>
      </c>
      <c r="C205" s="15">
        <v>2041</v>
      </c>
      <c r="D205" s="104">
        <v>0</v>
      </c>
      <c r="E205" s="104">
        <f t="shared" si="19"/>
        <v>2116.9</v>
      </c>
      <c r="F205" s="104">
        <v>2116.9</v>
      </c>
      <c r="G205" s="104">
        <v>0</v>
      </c>
      <c r="H205" s="120">
        <v>64.48</v>
      </c>
    </row>
    <row r="206" spans="2:8" x14ac:dyDescent="0.2">
      <c r="B206" s="15" t="s">
        <v>39</v>
      </c>
      <c r="C206" s="15">
        <v>2041</v>
      </c>
      <c r="D206" s="104">
        <v>0</v>
      </c>
      <c r="E206" s="104">
        <f t="shared" si="19"/>
        <v>2116.9</v>
      </c>
      <c r="F206" s="104">
        <v>2116.9</v>
      </c>
      <c r="G206" s="104">
        <v>0</v>
      </c>
      <c r="H206" s="120">
        <v>64.48</v>
      </c>
    </row>
    <row r="207" spans="2:8" x14ac:dyDescent="0.2">
      <c r="B207" s="15" t="s">
        <v>40</v>
      </c>
      <c r="C207" s="15">
        <v>2041</v>
      </c>
      <c r="D207" s="104">
        <v>0</v>
      </c>
      <c r="E207" s="104">
        <f t="shared" si="19"/>
        <v>2116.9</v>
      </c>
      <c r="F207" s="104">
        <v>2116.9</v>
      </c>
      <c r="G207" s="104">
        <v>0</v>
      </c>
      <c r="H207" s="120">
        <v>64.48</v>
      </c>
    </row>
    <row r="208" spans="2:8" x14ac:dyDescent="0.2">
      <c r="B208" s="15" t="s">
        <v>41</v>
      </c>
      <c r="C208" s="15">
        <v>2041</v>
      </c>
      <c r="D208" s="104">
        <v>0</v>
      </c>
      <c r="E208" s="104">
        <f t="shared" si="19"/>
        <v>2116.9</v>
      </c>
      <c r="F208" s="104">
        <v>2116.9</v>
      </c>
      <c r="G208" s="104">
        <v>0</v>
      </c>
      <c r="H208" s="120">
        <v>64.48</v>
      </c>
    </row>
    <row r="209" spans="2:8" x14ac:dyDescent="0.2">
      <c r="B209" s="15" t="s">
        <v>30</v>
      </c>
      <c r="C209" s="15">
        <v>2041</v>
      </c>
      <c r="D209" s="104">
        <v>0</v>
      </c>
      <c r="E209" s="104">
        <f t="shared" si="19"/>
        <v>2116.9</v>
      </c>
      <c r="F209" s="104">
        <v>2116.9</v>
      </c>
      <c r="G209" s="104">
        <v>0</v>
      </c>
      <c r="H209" s="120">
        <v>64.48</v>
      </c>
    </row>
    <row r="210" spans="2:8" x14ac:dyDescent="0.2">
      <c r="B210" s="15" t="s">
        <v>31</v>
      </c>
      <c r="C210" s="15">
        <v>2041</v>
      </c>
      <c r="D210" s="104">
        <v>0</v>
      </c>
      <c r="E210" s="104">
        <f t="shared" si="19"/>
        <v>2116.9</v>
      </c>
      <c r="F210" s="104">
        <v>2116.9</v>
      </c>
      <c r="G210" s="104">
        <v>0</v>
      </c>
      <c r="H210" s="120">
        <v>64.48</v>
      </c>
    </row>
    <row r="211" spans="2:8" x14ac:dyDescent="0.2">
      <c r="B211" s="15" t="s">
        <v>32</v>
      </c>
      <c r="C211" s="15">
        <v>2042</v>
      </c>
      <c r="D211" s="104">
        <v>0</v>
      </c>
      <c r="E211" s="104">
        <f t="shared" si="19"/>
        <v>2116.9</v>
      </c>
      <c r="F211" s="104">
        <v>2116.9</v>
      </c>
      <c r="G211" s="104">
        <v>0</v>
      </c>
      <c r="H211" s="120">
        <v>64.48</v>
      </c>
    </row>
    <row r="212" spans="2:8" x14ac:dyDescent="0.2">
      <c r="B212" s="15" t="s">
        <v>33</v>
      </c>
      <c r="C212" s="15">
        <v>2042</v>
      </c>
      <c r="D212" s="104">
        <v>0</v>
      </c>
      <c r="E212" s="104">
        <f t="shared" si="19"/>
        <v>2116.9</v>
      </c>
      <c r="F212" s="104">
        <v>2116.9</v>
      </c>
      <c r="G212" s="104">
        <v>0</v>
      </c>
      <c r="H212" s="120">
        <v>64.48</v>
      </c>
    </row>
    <row r="213" spans="2:8" x14ac:dyDescent="0.2">
      <c r="B213" s="15" t="s">
        <v>34</v>
      </c>
      <c r="C213" s="15">
        <v>2042</v>
      </c>
      <c r="D213" s="104">
        <v>0</v>
      </c>
      <c r="E213" s="104">
        <f t="shared" si="19"/>
        <v>2116.9</v>
      </c>
      <c r="F213" s="104">
        <v>2116.9</v>
      </c>
      <c r="G213" s="104">
        <v>0</v>
      </c>
      <c r="H213" s="120">
        <v>64.48</v>
      </c>
    </row>
    <row r="214" spans="2:8" x14ac:dyDescent="0.2">
      <c r="B214" s="15" t="s">
        <v>35</v>
      </c>
      <c r="C214" s="15">
        <v>2042</v>
      </c>
      <c r="D214" s="104">
        <v>0</v>
      </c>
      <c r="E214" s="104">
        <f t="shared" si="19"/>
        <v>2116.9</v>
      </c>
      <c r="F214" s="104">
        <v>2116.9</v>
      </c>
      <c r="G214" s="104">
        <v>0</v>
      </c>
      <c r="H214" s="120">
        <v>64.48</v>
      </c>
    </row>
    <row r="215" spans="2:8" x14ac:dyDescent="0.2">
      <c r="B215" s="15" t="s">
        <v>36</v>
      </c>
      <c r="C215" s="15">
        <v>2042</v>
      </c>
      <c r="D215" s="104">
        <v>0</v>
      </c>
      <c r="E215" s="104">
        <f t="shared" si="19"/>
        <v>2116.9</v>
      </c>
      <c r="F215" s="104">
        <v>2116.9</v>
      </c>
      <c r="G215" s="104">
        <v>0</v>
      </c>
      <c r="H215" s="120">
        <v>64.48</v>
      </c>
    </row>
    <row r="216" spans="2:8" x14ac:dyDescent="0.2">
      <c r="B216" s="15" t="s">
        <v>37</v>
      </c>
      <c r="C216" s="15">
        <v>2042</v>
      </c>
      <c r="D216" s="104">
        <v>0</v>
      </c>
      <c r="E216" s="104">
        <f t="shared" si="19"/>
        <v>2116.9</v>
      </c>
      <c r="F216" s="104">
        <v>2116.9</v>
      </c>
      <c r="G216" s="104">
        <v>0</v>
      </c>
      <c r="H216" s="120">
        <v>64.48</v>
      </c>
    </row>
    <row r="217" spans="2:8" x14ac:dyDescent="0.2">
      <c r="B217" s="15" t="s">
        <v>38</v>
      </c>
      <c r="C217" s="15">
        <v>2042</v>
      </c>
      <c r="D217" s="104">
        <v>0</v>
      </c>
      <c r="E217" s="104">
        <f t="shared" si="19"/>
        <v>2116.9</v>
      </c>
      <c r="F217" s="104">
        <v>2116.9</v>
      </c>
      <c r="G217" s="104">
        <v>0</v>
      </c>
      <c r="H217" s="120">
        <v>64.48</v>
      </c>
    </row>
    <row r="218" spans="2:8" x14ac:dyDescent="0.2">
      <c r="B218" s="15" t="s">
        <v>39</v>
      </c>
      <c r="C218" s="15">
        <v>2042</v>
      </c>
      <c r="D218" s="104">
        <v>0</v>
      </c>
      <c r="E218" s="104">
        <f t="shared" si="19"/>
        <v>2116.9</v>
      </c>
      <c r="F218" s="104">
        <v>2116.9</v>
      </c>
      <c r="G218" s="104">
        <v>0</v>
      </c>
      <c r="H218" s="120">
        <v>64.48</v>
      </c>
    </row>
    <row r="219" spans="2:8" x14ac:dyDescent="0.2">
      <c r="B219" s="15" t="s">
        <v>40</v>
      </c>
      <c r="C219" s="15">
        <v>2042</v>
      </c>
      <c r="D219" s="104">
        <v>0</v>
      </c>
      <c r="E219" s="104">
        <f t="shared" si="19"/>
        <v>2116.9</v>
      </c>
      <c r="F219" s="104">
        <v>2116.9</v>
      </c>
      <c r="G219" s="104">
        <v>0</v>
      </c>
      <c r="H219" s="120">
        <v>64.48</v>
      </c>
    </row>
    <row r="220" spans="2:8" x14ac:dyDescent="0.2">
      <c r="B220" s="15" t="s">
        <v>41</v>
      </c>
      <c r="C220" s="15">
        <v>2042</v>
      </c>
      <c r="D220" s="104">
        <v>0</v>
      </c>
      <c r="E220" s="104">
        <f t="shared" si="19"/>
        <v>2116.9</v>
      </c>
      <c r="F220" s="104">
        <v>2116.9</v>
      </c>
      <c r="G220" s="104">
        <v>0</v>
      </c>
      <c r="H220" s="120">
        <v>64.48</v>
      </c>
    </row>
    <row r="221" spans="2:8" x14ac:dyDescent="0.2">
      <c r="B221" s="15" t="s">
        <v>30</v>
      </c>
      <c r="C221" s="15">
        <v>2042</v>
      </c>
      <c r="D221" s="104">
        <v>0</v>
      </c>
      <c r="E221" s="104">
        <f t="shared" si="19"/>
        <v>2116.9</v>
      </c>
      <c r="F221" s="104">
        <v>2116.9</v>
      </c>
      <c r="G221" s="104">
        <v>0</v>
      </c>
      <c r="H221" s="120">
        <v>64.48</v>
      </c>
    </row>
    <row r="222" spans="2:8" x14ac:dyDescent="0.2">
      <c r="B222" s="15" t="s">
        <v>31</v>
      </c>
      <c r="C222" s="15">
        <v>2042</v>
      </c>
      <c r="D222" s="104">
        <v>0</v>
      </c>
      <c r="E222" s="104">
        <f t="shared" si="19"/>
        <v>2116.9</v>
      </c>
      <c r="F222" s="104">
        <v>2116.9</v>
      </c>
      <c r="G222" s="104">
        <v>0</v>
      </c>
      <c r="H222" s="120">
        <v>64.48</v>
      </c>
    </row>
    <row r="223" spans="2:8" x14ac:dyDescent="0.2">
      <c r="B223" s="15" t="s">
        <v>32</v>
      </c>
      <c r="C223" s="15">
        <v>2043</v>
      </c>
      <c r="D223" s="104">
        <v>0</v>
      </c>
      <c r="E223" s="104">
        <f t="shared" si="19"/>
        <v>2116.9</v>
      </c>
      <c r="F223" s="104">
        <v>2116.9</v>
      </c>
      <c r="G223" s="104">
        <v>0</v>
      </c>
      <c r="H223" s="120">
        <v>64.48</v>
      </c>
    </row>
    <row r="224" spans="2:8" x14ac:dyDescent="0.2">
      <c r="B224" s="15" t="s">
        <v>33</v>
      </c>
      <c r="C224" s="15">
        <v>2043</v>
      </c>
      <c r="D224" s="104">
        <v>0</v>
      </c>
      <c r="E224" s="104">
        <f t="shared" si="19"/>
        <v>2116.9</v>
      </c>
      <c r="F224" s="104">
        <v>2116.9</v>
      </c>
      <c r="G224" s="104">
        <v>0</v>
      </c>
      <c r="H224" s="120">
        <v>64.48</v>
      </c>
    </row>
    <row r="225" spans="2:8" x14ac:dyDescent="0.2">
      <c r="B225" s="15" t="s">
        <v>34</v>
      </c>
      <c r="C225" s="15">
        <v>2043</v>
      </c>
      <c r="D225" s="104">
        <v>0</v>
      </c>
      <c r="E225" s="104">
        <f t="shared" si="19"/>
        <v>2116.9</v>
      </c>
      <c r="F225" s="104">
        <v>2116.9</v>
      </c>
      <c r="G225" s="104">
        <v>0</v>
      </c>
      <c r="H225" s="120">
        <v>64.48</v>
      </c>
    </row>
    <row r="226" spans="2:8" x14ac:dyDescent="0.2">
      <c r="B226" s="15" t="s">
        <v>35</v>
      </c>
      <c r="C226" s="15">
        <v>2043</v>
      </c>
      <c r="D226" s="104">
        <v>0</v>
      </c>
      <c r="E226" s="104">
        <f t="shared" si="19"/>
        <v>2116.9</v>
      </c>
      <c r="F226" s="104">
        <v>2116.9</v>
      </c>
      <c r="G226" s="104">
        <v>0</v>
      </c>
      <c r="H226" s="120">
        <v>64.48</v>
      </c>
    </row>
    <row r="227" spans="2:8" x14ac:dyDescent="0.2">
      <c r="B227" s="15" t="s">
        <v>36</v>
      </c>
      <c r="C227" s="15">
        <v>2043</v>
      </c>
      <c r="D227" s="104">
        <v>0</v>
      </c>
      <c r="E227" s="104">
        <f t="shared" si="19"/>
        <v>2116.9</v>
      </c>
      <c r="F227" s="104">
        <v>2116.9</v>
      </c>
      <c r="G227" s="104">
        <v>0</v>
      </c>
      <c r="H227" s="120">
        <v>64.48</v>
      </c>
    </row>
    <row r="228" spans="2:8" x14ac:dyDescent="0.2">
      <c r="B228" s="15" t="s">
        <v>37</v>
      </c>
      <c r="C228" s="15">
        <v>2043</v>
      </c>
      <c r="D228" s="104">
        <v>0</v>
      </c>
      <c r="E228" s="104">
        <f t="shared" si="19"/>
        <v>2116.9</v>
      </c>
      <c r="F228" s="104">
        <v>2116.9</v>
      </c>
      <c r="G228" s="104">
        <v>0</v>
      </c>
      <c r="H228" s="120">
        <v>64.48</v>
      </c>
    </row>
    <row r="229" spans="2:8" x14ac:dyDescent="0.2">
      <c r="B229" s="15" t="s">
        <v>38</v>
      </c>
      <c r="C229" s="15">
        <v>2043</v>
      </c>
      <c r="D229" s="104">
        <v>0</v>
      </c>
      <c r="E229" s="104">
        <f t="shared" si="19"/>
        <v>2116.9</v>
      </c>
      <c r="F229" s="104">
        <v>2116.9</v>
      </c>
      <c r="G229" s="104">
        <v>0</v>
      </c>
      <c r="H229" s="120">
        <v>64.48</v>
      </c>
    </row>
    <row r="230" spans="2:8" x14ac:dyDescent="0.2">
      <c r="B230" s="15" t="s">
        <v>39</v>
      </c>
      <c r="C230" s="15">
        <v>2043</v>
      </c>
      <c r="D230" s="104">
        <v>0</v>
      </c>
      <c r="E230" s="104">
        <f t="shared" si="19"/>
        <v>2116.9</v>
      </c>
      <c r="F230" s="104">
        <v>2116.9</v>
      </c>
      <c r="G230" s="104">
        <v>0</v>
      </c>
      <c r="H230" s="120">
        <v>64.48</v>
      </c>
    </row>
    <row r="231" spans="2:8" x14ac:dyDescent="0.2">
      <c r="B231" s="15" t="s">
        <v>40</v>
      </c>
      <c r="C231" s="15">
        <v>2043</v>
      </c>
      <c r="D231" s="104">
        <v>0</v>
      </c>
      <c r="E231" s="104">
        <f t="shared" si="19"/>
        <v>2116.9</v>
      </c>
      <c r="F231" s="104">
        <v>2116.9</v>
      </c>
      <c r="G231" s="104">
        <v>0</v>
      </c>
      <c r="H231" s="120">
        <v>64.48</v>
      </c>
    </row>
    <row r="232" spans="2:8" x14ac:dyDescent="0.2">
      <c r="B232" s="15" t="s">
        <v>41</v>
      </c>
      <c r="C232" s="15">
        <v>2043</v>
      </c>
      <c r="D232" s="104">
        <v>0</v>
      </c>
      <c r="E232" s="104">
        <f t="shared" si="19"/>
        <v>2116.9</v>
      </c>
      <c r="F232" s="104">
        <v>2116.9</v>
      </c>
      <c r="G232" s="104">
        <v>0</v>
      </c>
      <c r="H232" s="120">
        <v>64.48</v>
      </c>
    </row>
    <row r="233" spans="2:8" x14ac:dyDescent="0.2">
      <c r="B233" s="15" t="s">
        <v>30</v>
      </c>
      <c r="C233" s="15">
        <v>2043</v>
      </c>
      <c r="D233" s="104">
        <v>0</v>
      </c>
      <c r="E233" s="104">
        <f t="shared" si="19"/>
        <v>2116.9</v>
      </c>
      <c r="F233" s="104">
        <v>2116.9</v>
      </c>
      <c r="G233" s="104">
        <v>0</v>
      </c>
      <c r="H233" s="120">
        <v>64.48</v>
      </c>
    </row>
    <row r="234" spans="2:8" x14ac:dyDescent="0.2">
      <c r="B234" s="15" t="s">
        <v>31</v>
      </c>
      <c r="C234" s="15">
        <v>2043</v>
      </c>
      <c r="D234" s="104">
        <v>0</v>
      </c>
      <c r="E234" s="104">
        <f t="shared" si="19"/>
        <v>2116.9</v>
      </c>
      <c r="F234" s="104">
        <v>2116.9</v>
      </c>
      <c r="G234" s="104">
        <v>0</v>
      </c>
      <c r="H234" s="120">
        <v>64.48</v>
      </c>
    </row>
    <row r="235" spans="2:8" x14ac:dyDescent="0.2">
      <c r="B235" s="15" t="s">
        <v>32</v>
      </c>
      <c r="C235" s="15">
        <v>2044</v>
      </c>
      <c r="D235" s="104">
        <v>0</v>
      </c>
      <c r="E235" s="104">
        <f t="shared" si="19"/>
        <v>2116.9</v>
      </c>
      <c r="F235" s="104">
        <v>2116.9</v>
      </c>
      <c r="G235" s="104">
        <v>0</v>
      </c>
      <c r="H235" s="120">
        <v>64.48</v>
      </c>
    </row>
    <row r="236" spans="2:8" x14ac:dyDescent="0.2">
      <c r="B236" s="15" t="s">
        <v>33</v>
      </c>
      <c r="C236" s="15">
        <v>2044</v>
      </c>
      <c r="D236" s="104">
        <v>0</v>
      </c>
      <c r="E236" s="104">
        <f t="shared" si="19"/>
        <v>2116.9</v>
      </c>
      <c r="F236" s="104">
        <v>2116.9</v>
      </c>
      <c r="G236" s="104">
        <v>0</v>
      </c>
      <c r="H236" s="120">
        <v>64.48</v>
      </c>
    </row>
    <row r="237" spans="2:8" x14ac:dyDescent="0.2">
      <c r="B237" s="15" t="s">
        <v>34</v>
      </c>
      <c r="C237" s="15">
        <v>2044</v>
      </c>
      <c r="D237" s="104">
        <v>0</v>
      </c>
      <c r="E237" s="104">
        <f t="shared" si="19"/>
        <v>2116.9</v>
      </c>
      <c r="F237" s="104">
        <v>2116.9</v>
      </c>
      <c r="G237" s="104">
        <v>0</v>
      </c>
      <c r="H237" s="120">
        <v>64.48</v>
      </c>
    </row>
    <row r="238" spans="2:8" x14ac:dyDescent="0.2">
      <c r="B238" s="15" t="s">
        <v>35</v>
      </c>
      <c r="C238" s="15">
        <v>2044</v>
      </c>
      <c r="D238" s="104">
        <v>0</v>
      </c>
      <c r="E238" s="104">
        <f t="shared" si="19"/>
        <v>2116.9</v>
      </c>
      <c r="F238" s="104">
        <v>2116.9</v>
      </c>
      <c r="G238" s="104">
        <v>0</v>
      </c>
      <c r="H238" s="120">
        <v>64.48</v>
      </c>
    </row>
    <row r="239" spans="2:8" x14ac:dyDescent="0.2">
      <c r="B239" s="15" t="s">
        <v>36</v>
      </c>
      <c r="C239" s="15">
        <v>2044</v>
      </c>
      <c r="D239" s="104">
        <v>0</v>
      </c>
      <c r="E239" s="104">
        <f t="shared" si="19"/>
        <v>2116.9</v>
      </c>
      <c r="F239" s="104">
        <v>2116.9</v>
      </c>
      <c r="G239" s="104">
        <v>0</v>
      </c>
      <c r="H239" s="120">
        <v>64.48</v>
      </c>
    </row>
    <row r="240" spans="2:8" x14ac:dyDescent="0.2">
      <c r="B240" s="15" t="s">
        <v>37</v>
      </c>
      <c r="C240" s="15">
        <v>2044</v>
      </c>
      <c r="D240" s="104">
        <v>0</v>
      </c>
      <c r="E240" s="104">
        <f t="shared" si="19"/>
        <v>2116.9</v>
      </c>
      <c r="F240" s="104">
        <v>2116.9</v>
      </c>
      <c r="G240" s="104">
        <v>0</v>
      </c>
      <c r="H240" s="120">
        <v>64.48</v>
      </c>
    </row>
    <row r="241" spans="2:8" x14ac:dyDescent="0.2">
      <c r="B241" s="15" t="s">
        <v>38</v>
      </c>
      <c r="C241" s="15">
        <v>2044</v>
      </c>
      <c r="D241" s="104">
        <v>0</v>
      </c>
      <c r="E241" s="104">
        <f t="shared" si="19"/>
        <v>2116.9</v>
      </c>
      <c r="F241" s="104">
        <v>2116.9</v>
      </c>
      <c r="G241" s="104">
        <v>0</v>
      </c>
      <c r="H241" s="120">
        <v>64.48</v>
      </c>
    </row>
    <row r="242" spans="2:8" x14ac:dyDescent="0.2">
      <c r="B242" s="15" t="s">
        <v>39</v>
      </c>
      <c r="C242" s="15">
        <v>2044</v>
      </c>
      <c r="D242" s="104">
        <v>0</v>
      </c>
      <c r="E242" s="104">
        <f t="shared" si="19"/>
        <v>2116.9</v>
      </c>
      <c r="F242" s="104">
        <v>2116.9</v>
      </c>
      <c r="G242" s="104">
        <v>0</v>
      </c>
      <c r="H242" s="120">
        <v>64.48</v>
      </c>
    </row>
    <row r="243" spans="2:8" x14ac:dyDescent="0.2">
      <c r="B243" s="15" t="s">
        <v>40</v>
      </c>
      <c r="C243" s="15">
        <v>2044</v>
      </c>
      <c r="D243" s="104">
        <v>0</v>
      </c>
      <c r="E243" s="104">
        <f t="shared" si="19"/>
        <v>2116.9</v>
      </c>
      <c r="F243" s="104">
        <v>2116.9</v>
      </c>
      <c r="G243" s="104">
        <v>0</v>
      </c>
      <c r="H243" s="120">
        <v>64.48</v>
      </c>
    </row>
    <row r="244" spans="2:8" x14ac:dyDescent="0.2">
      <c r="B244" s="15" t="s">
        <v>41</v>
      </c>
      <c r="C244" s="15">
        <v>2044</v>
      </c>
      <c r="D244" s="104">
        <v>0</v>
      </c>
      <c r="E244" s="104">
        <f t="shared" si="19"/>
        <v>2116.9</v>
      </c>
      <c r="F244" s="104">
        <v>2116.9</v>
      </c>
      <c r="G244" s="104">
        <v>0</v>
      </c>
      <c r="H244" s="120">
        <v>64.48</v>
      </c>
    </row>
    <row r="245" spans="2:8" x14ac:dyDescent="0.2">
      <c r="B245" s="15" t="s">
        <v>30</v>
      </c>
      <c r="C245" s="15">
        <v>2044</v>
      </c>
      <c r="D245" s="104">
        <v>0</v>
      </c>
      <c r="E245" s="104">
        <f t="shared" si="19"/>
        <v>2116.9</v>
      </c>
      <c r="F245" s="104">
        <v>2116.9</v>
      </c>
      <c r="G245" s="104">
        <v>0</v>
      </c>
      <c r="H245" s="120">
        <v>64.48</v>
      </c>
    </row>
    <row r="246" spans="2:8" x14ac:dyDescent="0.2">
      <c r="B246" s="15" t="s">
        <v>31</v>
      </c>
      <c r="C246" s="15">
        <v>2044</v>
      </c>
      <c r="D246" s="104">
        <v>0</v>
      </c>
      <c r="E246" s="104">
        <f t="shared" si="19"/>
        <v>2116.9</v>
      </c>
      <c r="F246" s="104">
        <v>2116.9</v>
      </c>
      <c r="G246" s="104">
        <v>0</v>
      </c>
      <c r="H246" s="120">
        <v>64.48</v>
      </c>
    </row>
    <row r="247" spans="2:8" x14ac:dyDescent="0.2">
      <c r="B247" s="15" t="s">
        <v>32</v>
      </c>
      <c r="C247" s="15">
        <v>2045</v>
      </c>
      <c r="D247" s="104">
        <v>0</v>
      </c>
      <c r="E247" s="104">
        <f t="shared" si="19"/>
        <v>2116.9</v>
      </c>
      <c r="F247" s="104">
        <v>2116.9</v>
      </c>
      <c r="G247" s="104">
        <v>0</v>
      </c>
      <c r="H247" s="120">
        <v>64.48</v>
      </c>
    </row>
    <row r="248" spans="2:8" x14ac:dyDescent="0.2">
      <c r="B248" s="15" t="s">
        <v>33</v>
      </c>
      <c r="C248" s="15">
        <v>2045</v>
      </c>
      <c r="D248" s="104">
        <v>0</v>
      </c>
      <c r="E248" s="104">
        <f t="shared" si="19"/>
        <v>2116.9</v>
      </c>
      <c r="F248" s="104">
        <v>2116.9</v>
      </c>
      <c r="G248" s="104">
        <v>0</v>
      </c>
      <c r="H248" s="120">
        <v>64.48</v>
      </c>
    </row>
    <row r="249" spans="2:8" x14ac:dyDescent="0.2">
      <c r="B249" s="15" t="s">
        <v>34</v>
      </c>
      <c r="C249" s="15">
        <v>2045</v>
      </c>
      <c r="D249" s="104">
        <v>0</v>
      </c>
      <c r="E249" s="104">
        <f t="shared" si="19"/>
        <v>2116.9</v>
      </c>
      <c r="F249" s="104">
        <v>2116.9</v>
      </c>
      <c r="G249" s="104">
        <v>0</v>
      </c>
      <c r="H249" s="120">
        <v>64.48</v>
      </c>
    </row>
    <row r="250" spans="2:8" x14ac:dyDescent="0.2">
      <c r="B250" s="15" t="s">
        <v>35</v>
      </c>
      <c r="C250" s="15">
        <v>2045</v>
      </c>
      <c r="D250" s="104">
        <v>0</v>
      </c>
      <c r="E250" s="104">
        <f t="shared" si="19"/>
        <v>2116.9</v>
      </c>
      <c r="F250" s="104">
        <v>2116.9</v>
      </c>
      <c r="G250" s="104">
        <v>0</v>
      </c>
      <c r="H250" s="120">
        <v>64.48</v>
      </c>
    </row>
    <row r="251" spans="2:8" x14ac:dyDescent="0.2">
      <c r="B251" s="15" t="s">
        <v>36</v>
      </c>
      <c r="C251" s="15">
        <v>2045</v>
      </c>
      <c r="D251" s="104">
        <v>0</v>
      </c>
      <c r="E251" s="104">
        <f t="shared" si="19"/>
        <v>2116.9</v>
      </c>
      <c r="F251" s="104">
        <v>2116.9</v>
      </c>
      <c r="G251" s="104">
        <v>0</v>
      </c>
      <c r="H251" s="120">
        <v>64.48</v>
      </c>
    </row>
    <row r="252" spans="2:8" x14ac:dyDescent="0.2">
      <c r="B252" s="15" t="s">
        <v>37</v>
      </c>
      <c r="C252" s="15">
        <v>2045</v>
      </c>
      <c r="D252" s="104">
        <v>0</v>
      </c>
      <c r="E252" s="104">
        <f t="shared" si="19"/>
        <v>2116.9</v>
      </c>
      <c r="F252" s="104">
        <v>2116.9</v>
      </c>
      <c r="G252" s="104">
        <v>0</v>
      </c>
      <c r="H252" s="120">
        <v>64.48</v>
      </c>
    </row>
    <row r="253" spans="2:8" x14ac:dyDescent="0.2">
      <c r="B253" s="15" t="s">
        <v>38</v>
      </c>
      <c r="C253" s="15">
        <v>2045</v>
      </c>
      <c r="D253" s="104">
        <v>0</v>
      </c>
      <c r="E253" s="104">
        <f t="shared" si="19"/>
        <v>2116.9</v>
      </c>
      <c r="F253" s="104">
        <v>2116.9</v>
      </c>
      <c r="G253" s="104">
        <v>0</v>
      </c>
      <c r="H253" s="120">
        <v>64.48</v>
      </c>
    </row>
    <row r="254" spans="2:8" x14ac:dyDescent="0.2">
      <c r="B254" s="15" t="s">
        <v>39</v>
      </c>
      <c r="C254" s="15">
        <v>2045</v>
      </c>
      <c r="D254" s="104">
        <v>0</v>
      </c>
      <c r="E254" s="104">
        <f t="shared" si="19"/>
        <v>2116.9</v>
      </c>
      <c r="F254" s="104">
        <v>2116.9</v>
      </c>
      <c r="G254" s="104">
        <v>0</v>
      </c>
      <c r="H254" s="120">
        <v>64.48</v>
      </c>
    </row>
    <row r="255" spans="2:8" x14ac:dyDescent="0.2">
      <c r="B255" s="15" t="s">
        <v>40</v>
      </c>
      <c r="C255" s="15">
        <v>2045</v>
      </c>
      <c r="D255" s="104">
        <v>0</v>
      </c>
      <c r="E255" s="104">
        <f t="shared" si="19"/>
        <v>2116.9</v>
      </c>
      <c r="F255" s="104">
        <v>2116.9</v>
      </c>
      <c r="G255" s="104">
        <v>0</v>
      </c>
      <c r="H255" s="120">
        <v>64.48</v>
      </c>
    </row>
    <row r="256" spans="2:8" x14ac:dyDescent="0.2">
      <c r="B256" s="15" t="s">
        <v>41</v>
      </c>
      <c r="C256" s="15">
        <v>2045</v>
      </c>
      <c r="D256" s="104">
        <v>0</v>
      </c>
      <c r="E256" s="104">
        <f t="shared" si="19"/>
        <v>2116.9</v>
      </c>
      <c r="F256" s="104">
        <v>2116.9</v>
      </c>
      <c r="G256" s="104">
        <v>0</v>
      </c>
      <c r="H256" s="120">
        <v>64.48</v>
      </c>
    </row>
    <row r="257" spans="2:8" x14ac:dyDescent="0.2">
      <c r="B257" s="15" t="s">
        <v>30</v>
      </c>
      <c r="C257" s="15">
        <v>2045</v>
      </c>
      <c r="D257" s="104">
        <v>0</v>
      </c>
      <c r="E257" s="104">
        <f t="shared" si="19"/>
        <v>2116.9</v>
      </c>
      <c r="F257" s="104">
        <v>2116.9</v>
      </c>
      <c r="G257" s="104">
        <v>0</v>
      </c>
      <c r="H257" s="120">
        <v>64.48</v>
      </c>
    </row>
    <row r="258" spans="2:8" x14ac:dyDescent="0.2">
      <c r="B258" s="15" t="s">
        <v>31</v>
      </c>
      <c r="C258" s="15">
        <v>2045</v>
      </c>
      <c r="D258" s="104">
        <v>0</v>
      </c>
      <c r="E258" s="104">
        <f t="shared" si="19"/>
        <v>2116.9</v>
      </c>
      <c r="F258" s="104">
        <v>2116.9</v>
      </c>
      <c r="G258" s="104">
        <v>0</v>
      </c>
      <c r="H258" s="120">
        <v>64.48</v>
      </c>
    </row>
    <row r="259" spans="2:8" x14ac:dyDescent="0.2">
      <c r="B259" s="15" t="s">
        <v>32</v>
      </c>
      <c r="C259" s="15">
        <v>2046</v>
      </c>
      <c r="D259" s="104">
        <v>0</v>
      </c>
      <c r="E259" s="104">
        <f t="shared" si="19"/>
        <v>2116.9</v>
      </c>
      <c r="F259" s="104">
        <v>2116.9</v>
      </c>
      <c r="G259" s="104">
        <v>0</v>
      </c>
      <c r="H259" s="120">
        <v>64.48</v>
      </c>
    </row>
    <row r="260" spans="2:8" x14ac:dyDescent="0.2">
      <c r="B260" s="15" t="s">
        <v>33</v>
      </c>
      <c r="C260" s="15">
        <v>2046</v>
      </c>
      <c r="D260" s="104">
        <v>0</v>
      </c>
      <c r="E260" s="104">
        <f t="shared" si="19"/>
        <v>2116.9</v>
      </c>
      <c r="F260" s="104">
        <v>2116.9</v>
      </c>
      <c r="G260" s="104">
        <v>0</v>
      </c>
      <c r="H260" s="120">
        <v>64.48</v>
      </c>
    </row>
    <row r="261" spans="2:8" x14ac:dyDescent="0.2">
      <c r="B261" s="15" t="s">
        <v>34</v>
      </c>
      <c r="C261" s="15">
        <v>2046</v>
      </c>
      <c r="D261" s="104">
        <v>0</v>
      </c>
      <c r="E261" s="104">
        <f t="shared" si="19"/>
        <v>2116.9</v>
      </c>
      <c r="F261" s="104">
        <v>2116.9</v>
      </c>
      <c r="G261" s="104">
        <v>0</v>
      </c>
      <c r="H261" s="120">
        <v>64.48</v>
      </c>
    </row>
    <row r="262" spans="2:8" x14ac:dyDescent="0.2">
      <c r="B262" s="15" t="s">
        <v>35</v>
      </c>
      <c r="C262" s="15">
        <v>2046</v>
      </c>
      <c r="D262" s="104">
        <v>0</v>
      </c>
      <c r="E262" s="104">
        <f t="shared" ref="E262:E304" si="20">F262-G262</f>
        <v>2116.9</v>
      </c>
      <c r="F262" s="104">
        <v>2116.9</v>
      </c>
      <c r="G262" s="104">
        <v>0</v>
      </c>
      <c r="H262" s="120">
        <v>64.48</v>
      </c>
    </row>
    <row r="263" spans="2:8" x14ac:dyDescent="0.2">
      <c r="B263" s="15" t="s">
        <v>36</v>
      </c>
      <c r="C263" s="15">
        <v>2046</v>
      </c>
      <c r="D263" s="104">
        <v>0</v>
      </c>
      <c r="E263" s="104">
        <f t="shared" si="20"/>
        <v>2116.9</v>
      </c>
      <c r="F263" s="104">
        <v>2116.9</v>
      </c>
      <c r="G263" s="104">
        <v>0</v>
      </c>
      <c r="H263" s="120">
        <v>64.48</v>
      </c>
    </row>
    <row r="264" spans="2:8" x14ac:dyDescent="0.2">
      <c r="B264" s="15" t="s">
        <v>37</v>
      </c>
      <c r="C264" s="15">
        <v>2046</v>
      </c>
      <c r="D264" s="104">
        <v>0</v>
      </c>
      <c r="E264" s="104">
        <f t="shared" si="20"/>
        <v>2116.9</v>
      </c>
      <c r="F264" s="104">
        <v>2116.9</v>
      </c>
      <c r="G264" s="104">
        <v>0</v>
      </c>
      <c r="H264" s="120">
        <v>64.48</v>
      </c>
    </row>
    <row r="265" spans="2:8" x14ac:dyDescent="0.2">
      <c r="B265" s="15" t="s">
        <v>38</v>
      </c>
      <c r="C265" s="15">
        <v>2046</v>
      </c>
      <c r="D265" s="104">
        <v>0</v>
      </c>
      <c r="E265" s="104">
        <f t="shared" si="20"/>
        <v>2116.9</v>
      </c>
      <c r="F265" s="104">
        <v>2116.9</v>
      </c>
      <c r="G265" s="104">
        <v>0</v>
      </c>
      <c r="H265" s="120">
        <v>64.48</v>
      </c>
    </row>
    <row r="266" spans="2:8" x14ac:dyDescent="0.2">
      <c r="B266" s="15" t="s">
        <v>39</v>
      </c>
      <c r="C266" s="15">
        <v>2046</v>
      </c>
      <c r="D266" s="104">
        <v>0</v>
      </c>
      <c r="E266" s="104">
        <f t="shared" si="20"/>
        <v>2116.9</v>
      </c>
      <c r="F266" s="104">
        <v>2116.9</v>
      </c>
      <c r="G266" s="104">
        <v>0</v>
      </c>
      <c r="H266" s="120">
        <v>64.48</v>
      </c>
    </row>
    <row r="267" spans="2:8" x14ac:dyDescent="0.2">
      <c r="B267" s="15" t="s">
        <v>40</v>
      </c>
      <c r="C267" s="15">
        <v>2046</v>
      </c>
      <c r="D267" s="104">
        <v>0</v>
      </c>
      <c r="E267" s="104">
        <f t="shared" si="20"/>
        <v>2116.9</v>
      </c>
      <c r="F267" s="104">
        <v>2116.9</v>
      </c>
      <c r="G267" s="104">
        <v>0</v>
      </c>
      <c r="H267" s="120">
        <v>64.48</v>
      </c>
    </row>
    <row r="268" spans="2:8" x14ac:dyDescent="0.2">
      <c r="B268" s="15" t="s">
        <v>41</v>
      </c>
      <c r="C268" s="15">
        <v>2046</v>
      </c>
      <c r="D268" s="104">
        <v>0</v>
      </c>
      <c r="E268" s="104">
        <f t="shared" si="20"/>
        <v>2116.9</v>
      </c>
      <c r="F268" s="104">
        <v>2116.9</v>
      </c>
      <c r="G268" s="104">
        <v>0</v>
      </c>
      <c r="H268" s="120">
        <v>64.48</v>
      </c>
    </row>
    <row r="269" spans="2:8" x14ac:dyDescent="0.2">
      <c r="B269" s="15" t="s">
        <v>30</v>
      </c>
      <c r="C269" s="15">
        <v>2046</v>
      </c>
      <c r="D269" s="104">
        <v>0</v>
      </c>
      <c r="E269" s="104">
        <f t="shared" si="20"/>
        <v>2116.9</v>
      </c>
      <c r="F269" s="104">
        <v>2116.9</v>
      </c>
      <c r="G269" s="104">
        <v>0</v>
      </c>
      <c r="H269" s="120">
        <v>64.48</v>
      </c>
    </row>
    <row r="270" spans="2:8" x14ac:dyDescent="0.2">
      <c r="B270" s="15" t="s">
        <v>31</v>
      </c>
      <c r="C270" s="15">
        <v>2046</v>
      </c>
      <c r="D270" s="104">
        <v>0</v>
      </c>
      <c r="E270" s="104">
        <f t="shared" si="20"/>
        <v>2116.9</v>
      </c>
      <c r="F270" s="104">
        <v>2116.9</v>
      </c>
      <c r="G270" s="104">
        <v>0</v>
      </c>
      <c r="H270" s="120">
        <v>64.48</v>
      </c>
    </row>
    <row r="271" spans="2:8" x14ac:dyDescent="0.2">
      <c r="B271" s="15" t="s">
        <v>32</v>
      </c>
      <c r="C271" s="15">
        <v>2047</v>
      </c>
      <c r="D271" s="104">
        <v>0</v>
      </c>
      <c r="E271" s="104">
        <f t="shared" si="20"/>
        <v>2116.9</v>
      </c>
      <c r="F271" s="104">
        <v>2116.9</v>
      </c>
      <c r="G271" s="104">
        <v>0</v>
      </c>
      <c r="H271" s="120">
        <v>64.48</v>
      </c>
    </row>
    <row r="272" spans="2:8" x14ac:dyDescent="0.2">
      <c r="B272" s="15" t="s">
        <v>33</v>
      </c>
      <c r="C272" s="15">
        <v>2047</v>
      </c>
      <c r="D272" s="104">
        <v>0</v>
      </c>
      <c r="E272" s="104">
        <f t="shared" si="20"/>
        <v>2116.9</v>
      </c>
      <c r="F272" s="104">
        <v>2116.9</v>
      </c>
      <c r="G272" s="104">
        <v>0</v>
      </c>
      <c r="H272" s="120">
        <v>64.48</v>
      </c>
    </row>
    <row r="273" spans="2:8" x14ac:dyDescent="0.2">
      <c r="B273" s="15" t="s">
        <v>34</v>
      </c>
      <c r="C273" s="15">
        <v>2047</v>
      </c>
      <c r="D273" s="104">
        <v>0</v>
      </c>
      <c r="E273" s="104">
        <f t="shared" si="20"/>
        <v>2116.9</v>
      </c>
      <c r="F273" s="104">
        <v>2116.9</v>
      </c>
      <c r="G273" s="104">
        <v>0</v>
      </c>
      <c r="H273" s="120">
        <v>64.48</v>
      </c>
    </row>
    <row r="274" spans="2:8" x14ac:dyDescent="0.2">
      <c r="B274" s="15" t="s">
        <v>35</v>
      </c>
      <c r="C274" s="15">
        <v>2047</v>
      </c>
      <c r="D274" s="104">
        <v>0</v>
      </c>
      <c r="E274" s="104">
        <f t="shared" si="20"/>
        <v>2116.9</v>
      </c>
      <c r="F274" s="104">
        <v>2116.9</v>
      </c>
      <c r="G274" s="104">
        <v>0</v>
      </c>
      <c r="H274" s="120">
        <v>64.48</v>
      </c>
    </row>
    <row r="275" spans="2:8" x14ac:dyDescent="0.2">
      <c r="B275" s="15" t="s">
        <v>36</v>
      </c>
      <c r="C275" s="15">
        <v>2047</v>
      </c>
      <c r="D275" s="104">
        <v>0</v>
      </c>
      <c r="E275" s="104">
        <f t="shared" si="20"/>
        <v>2116.9</v>
      </c>
      <c r="F275" s="104">
        <v>2116.9</v>
      </c>
      <c r="G275" s="104">
        <v>0</v>
      </c>
      <c r="H275" s="120">
        <v>64.48</v>
      </c>
    </row>
    <row r="276" spans="2:8" x14ac:dyDescent="0.2">
      <c r="B276" s="15" t="s">
        <v>37</v>
      </c>
      <c r="C276" s="15">
        <v>2047</v>
      </c>
      <c r="D276" s="104">
        <v>0</v>
      </c>
      <c r="E276" s="104">
        <f t="shared" si="20"/>
        <v>2116.9</v>
      </c>
      <c r="F276" s="104">
        <v>2116.9</v>
      </c>
      <c r="G276" s="104">
        <v>0</v>
      </c>
      <c r="H276" s="120">
        <v>64.48</v>
      </c>
    </row>
    <row r="277" spans="2:8" x14ac:dyDescent="0.2">
      <c r="B277" s="15" t="s">
        <v>38</v>
      </c>
      <c r="C277" s="15">
        <v>2047</v>
      </c>
      <c r="D277" s="104">
        <v>0</v>
      </c>
      <c r="E277" s="104">
        <f t="shared" si="20"/>
        <v>2116.9</v>
      </c>
      <c r="F277" s="104">
        <v>2116.9</v>
      </c>
      <c r="G277" s="104">
        <v>0</v>
      </c>
      <c r="H277" s="120">
        <v>64.48</v>
      </c>
    </row>
    <row r="278" spans="2:8" x14ac:dyDescent="0.2">
      <c r="B278" s="15" t="s">
        <v>39</v>
      </c>
      <c r="C278" s="15">
        <v>2047</v>
      </c>
      <c r="D278" s="104">
        <v>0</v>
      </c>
      <c r="E278" s="104">
        <f t="shared" si="20"/>
        <v>2116.9</v>
      </c>
      <c r="F278" s="104">
        <v>2116.9</v>
      </c>
      <c r="G278" s="104">
        <v>0</v>
      </c>
      <c r="H278" s="120">
        <v>64.48</v>
      </c>
    </row>
    <row r="279" spans="2:8" x14ac:dyDescent="0.2">
      <c r="B279" s="15" t="s">
        <v>40</v>
      </c>
      <c r="C279" s="15">
        <v>2047</v>
      </c>
      <c r="D279" s="104">
        <v>0</v>
      </c>
      <c r="E279" s="104">
        <f t="shared" si="20"/>
        <v>2116.9</v>
      </c>
      <c r="F279" s="104">
        <v>2116.9</v>
      </c>
      <c r="G279" s="104">
        <v>0</v>
      </c>
      <c r="H279" s="120">
        <v>64.48</v>
      </c>
    </row>
    <row r="280" spans="2:8" x14ac:dyDescent="0.2">
      <c r="B280" s="15" t="s">
        <v>41</v>
      </c>
      <c r="C280" s="15">
        <v>2047</v>
      </c>
      <c r="D280" s="104">
        <v>0</v>
      </c>
      <c r="E280" s="104">
        <f t="shared" si="20"/>
        <v>2116.9</v>
      </c>
      <c r="F280" s="104">
        <v>2116.9</v>
      </c>
      <c r="G280" s="104">
        <v>0</v>
      </c>
      <c r="H280" s="120">
        <v>64.48</v>
      </c>
    </row>
    <row r="281" spans="2:8" x14ac:dyDescent="0.2">
      <c r="B281" s="15" t="s">
        <v>30</v>
      </c>
      <c r="C281" s="15">
        <v>2047</v>
      </c>
      <c r="D281" s="104">
        <v>0</v>
      </c>
      <c r="E281" s="104">
        <f t="shared" si="20"/>
        <v>2116.9</v>
      </c>
      <c r="F281" s="104">
        <v>2116.9</v>
      </c>
      <c r="G281" s="104">
        <v>0</v>
      </c>
      <c r="H281" s="120">
        <v>64.48</v>
      </c>
    </row>
    <row r="282" spans="2:8" x14ac:dyDescent="0.2">
      <c r="B282" s="15" t="s">
        <v>31</v>
      </c>
      <c r="C282" s="15">
        <v>2047</v>
      </c>
      <c r="D282" s="104">
        <v>0</v>
      </c>
      <c r="E282" s="104">
        <f t="shared" si="20"/>
        <v>2116.9</v>
      </c>
      <c r="F282" s="104">
        <v>2116.9</v>
      </c>
      <c r="G282" s="104">
        <v>0</v>
      </c>
      <c r="H282" s="120">
        <v>64.48</v>
      </c>
    </row>
    <row r="283" spans="2:8" x14ac:dyDescent="0.2">
      <c r="B283" s="15" t="s">
        <v>32</v>
      </c>
      <c r="C283" s="15">
        <v>2048</v>
      </c>
      <c r="D283" s="104">
        <v>0</v>
      </c>
      <c r="E283" s="104">
        <f t="shared" si="20"/>
        <v>2116.9</v>
      </c>
      <c r="F283" s="104">
        <v>2116.9</v>
      </c>
      <c r="G283" s="104">
        <v>0</v>
      </c>
      <c r="H283" s="120">
        <v>64.48</v>
      </c>
    </row>
    <row r="284" spans="2:8" x14ac:dyDescent="0.2">
      <c r="B284" s="15" t="s">
        <v>33</v>
      </c>
      <c r="C284" s="15">
        <v>2048</v>
      </c>
      <c r="D284" s="104">
        <v>0</v>
      </c>
      <c r="E284" s="104">
        <f t="shared" si="20"/>
        <v>2116.9</v>
      </c>
      <c r="F284" s="104">
        <v>2116.9</v>
      </c>
      <c r="G284" s="104">
        <v>0</v>
      </c>
      <c r="H284" s="120">
        <v>64.48</v>
      </c>
    </row>
    <row r="285" spans="2:8" x14ac:dyDescent="0.2">
      <c r="B285" s="15" t="s">
        <v>34</v>
      </c>
      <c r="C285" s="15">
        <v>2048</v>
      </c>
      <c r="D285" s="104">
        <v>0</v>
      </c>
      <c r="E285" s="104">
        <f t="shared" si="20"/>
        <v>2116.9</v>
      </c>
      <c r="F285" s="104">
        <v>2116.9</v>
      </c>
      <c r="G285" s="104">
        <v>0</v>
      </c>
      <c r="H285" s="120">
        <v>64.48</v>
      </c>
    </row>
    <row r="286" spans="2:8" x14ac:dyDescent="0.2">
      <c r="B286" s="15" t="s">
        <v>35</v>
      </c>
      <c r="C286" s="15">
        <v>2048</v>
      </c>
      <c r="D286" s="104">
        <v>0</v>
      </c>
      <c r="E286" s="104">
        <f t="shared" si="20"/>
        <v>2116.9</v>
      </c>
      <c r="F286" s="104">
        <v>2116.9</v>
      </c>
      <c r="G286" s="104">
        <v>0</v>
      </c>
      <c r="H286" s="120">
        <v>64.48</v>
      </c>
    </row>
    <row r="287" spans="2:8" x14ac:dyDescent="0.2">
      <c r="B287" s="15" t="s">
        <v>36</v>
      </c>
      <c r="C287" s="15">
        <v>2048</v>
      </c>
      <c r="D287" s="104">
        <v>0</v>
      </c>
      <c r="E287" s="104">
        <f t="shared" si="20"/>
        <v>2116.9</v>
      </c>
      <c r="F287" s="104">
        <v>2116.9</v>
      </c>
      <c r="G287" s="104">
        <v>0</v>
      </c>
      <c r="H287" s="120">
        <v>64.48</v>
      </c>
    </row>
    <row r="288" spans="2:8" x14ac:dyDescent="0.2">
      <c r="B288" s="15" t="s">
        <v>37</v>
      </c>
      <c r="C288" s="15">
        <v>2048</v>
      </c>
      <c r="D288" s="104">
        <v>0</v>
      </c>
      <c r="E288" s="104">
        <f t="shared" si="20"/>
        <v>2116.9</v>
      </c>
      <c r="F288" s="104">
        <v>2116.9</v>
      </c>
      <c r="G288" s="104">
        <v>0</v>
      </c>
      <c r="H288" s="120">
        <v>64.48</v>
      </c>
    </row>
    <row r="289" spans="2:8" x14ac:dyDescent="0.2">
      <c r="B289" s="15" t="s">
        <v>38</v>
      </c>
      <c r="C289" s="15">
        <v>2048</v>
      </c>
      <c r="D289" s="104">
        <v>0</v>
      </c>
      <c r="E289" s="104">
        <f t="shared" si="20"/>
        <v>2116.9</v>
      </c>
      <c r="F289" s="104">
        <v>2116.9</v>
      </c>
      <c r="G289" s="104">
        <v>0</v>
      </c>
      <c r="H289" s="120">
        <v>64.48</v>
      </c>
    </row>
    <row r="290" spans="2:8" x14ac:dyDescent="0.2">
      <c r="B290" s="15" t="s">
        <v>39</v>
      </c>
      <c r="C290" s="15">
        <v>2048</v>
      </c>
      <c r="D290" s="104">
        <v>0</v>
      </c>
      <c r="E290" s="104">
        <f t="shared" si="20"/>
        <v>2116.9</v>
      </c>
      <c r="F290" s="104">
        <v>2116.9</v>
      </c>
      <c r="G290" s="104">
        <v>0</v>
      </c>
      <c r="H290" s="120">
        <v>64.48</v>
      </c>
    </row>
    <row r="291" spans="2:8" x14ac:dyDescent="0.2">
      <c r="B291" s="15" t="s">
        <v>40</v>
      </c>
      <c r="C291" s="15">
        <v>2048</v>
      </c>
      <c r="D291" s="104">
        <v>0</v>
      </c>
      <c r="E291" s="104">
        <f t="shared" si="20"/>
        <v>2116.9</v>
      </c>
      <c r="F291" s="104">
        <v>2116.9</v>
      </c>
      <c r="G291" s="104">
        <v>0</v>
      </c>
      <c r="H291" s="120">
        <v>64.48</v>
      </c>
    </row>
    <row r="292" spans="2:8" x14ac:dyDescent="0.2">
      <c r="B292" s="15" t="s">
        <v>41</v>
      </c>
      <c r="C292" s="15">
        <v>2048</v>
      </c>
      <c r="D292" s="104">
        <v>0</v>
      </c>
      <c r="E292" s="104">
        <f t="shared" si="20"/>
        <v>2116.9</v>
      </c>
      <c r="F292" s="104">
        <v>2116.9</v>
      </c>
      <c r="G292" s="104">
        <v>0</v>
      </c>
      <c r="H292" s="120">
        <v>64.48</v>
      </c>
    </row>
    <row r="293" spans="2:8" x14ac:dyDescent="0.2">
      <c r="B293" s="15" t="s">
        <v>30</v>
      </c>
      <c r="C293" s="15">
        <v>2048</v>
      </c>
      <c r="D293" s="104">
        <v>0</v>
      </c>
      <c r="E293" s="104">
        <f t="shared" si="20"/>
        <v>2116.9</v>
      </c>
      <c r="F293" s="104">
        <v>2116.9</v>
      </c>
      <c r="G293" s="104">
        <v>0</v>
      </c>
      <c r="H293" s="120">
        <v>64.48</v>
      </c>
    </row>
    <row r="294" spans="2:8" x14ac:dyDescent="0.2">
      <c r="B294" s="15" t="s">
        <v>31</v>
      </c>
      <c r="C294" s="15">
        <v>2048</v>
      </c>
      <c r="D294" s="104">
        <v>0</v>
      </c>
      <c r="E294" s="104">
        <f t="shared" si="20"/>
        <v>2116.9</v>
      </c>
      <c r="F294" s="104">
        <v>2116.9</v>
      </c>
      <c r="G294" s="104">
        <v>0</v>
      </c>
      <c r="H294" s="120">
        <v>64.48</v>
      </c>
    </row>
    <row r="295" spans="2:8" x14ac:dyDescent="0.2">
      <c r="B295" s="15" t="s">
        <v>32</v>
      </c>
      <c r="C295" s="15">
        <v>2049</v>
      </c>
      <c r="D295" s="104">
        <v>0</v>
      </c>
      <c r="E295" s="104">
        <f t="shared" si="20"/>
        <v>2116.9</v>
      </c>
      <c r="F295" s="104">
        <v>2116.9</v>
      </c>
      <c r="G295" s="104">
        <v>0</v>
      </c>
      <c r="H295" s="120">
        <v>64.48</v>
      </c>
    </row>
    <row r="296" spans="2:8" x14ac:dyDescent="0.2">
      <c r="B296" s="15" t="s">
        <v>33</v>
      </c>
      <c r="C296" s="15">
        <v>2049</v>
      </c>
      <c r="D296" s="104">
        <v>0</v>
      </c>
      <c r="E296" s="104">
        <f t="shared" si="20"/>
        <v>2116.9</v>
      </c>
      <c r="F296" s="104">
        <v>2116.9</v>
      </c>
      <c r="G296" s="104">
        <v>0</v>
      </c>
      <c r="H296" s="120">
        <v>64.48</v>
      </c>
    </row>
    <row r="297" spans="2:8" x14ac:dyDescent="0.2">
      <c r="B297" s="15" t="s">
        <v>34</v>
      </c>
      <c r="C297" s="15">
        <v>2049</v>
      </c>
      <c r="D297" s="104">
        <v>0</v>
      </c>
      <c r="E297" s="104">
        <f t="shared" si="20"/>
        <v>2116.9</v>
      </c>
      <c r="F297" s="104">
        <v>2116.9</v>
      </c>
      <c r="G297" s="104">
        <v>0</v>
      </c>
      <c r="H297" s="120">
        <v>64.48</v>
      </c>
    </row>
    <row r="298" spans="2:8" x14ac:dyDescent="0.2">
      <c r="B298" s="15" t="s">
        <v>35</v>
      </c>
      <c r="C298" s="15">
        <v>2049</v>
      </c>
      <c r="D298" s="104">
        <v>0</v>
      </c>
      <c r="E298" s="104">
        <f t="shared" si="20"/>
        <v>2116.9</v>
      </c>
      <c r="F298" s="104">
        <v>2116.9</v>
      </c>
      <c r="G298" s="104">
        <v>0</v>
      </c>
      <c r="H298" s="120">
        <v>64.48</v>
      </c>
    </row>
    <row r="299" spans="2:8" x14ac:dyDescent="0.2">
      <c r="B299" s="15" t="s">
        <v>36</v>
      </c>
      <c r="C299" s="15">
        <v>2049</v>
      </c>
      <c r="D299" s="104">
        <v>0</v>
      </c>
      <c r="E299" s="104">
        <f t="shared" si="20"/>
        <v>2116.9</v>
      </c>
      <c r="F299" s="104">
        <v>2116.9</v>
      </c>
      <c r="G299" s="104">
        <v>0</v>
      </c>
      <c r="H299" s="120">
        <v>64.48</v>
      </c>
    </row>
    <row r="300" spans="2:8" x14ac:dyDescent="0.2">
      <c r="B300" s="15" t="s">
        <v>37</v>
      </c>
      <c r="C300" s="15">
        <v>2049</v>
      </c>
      <c r="D300" s="104">
        <v>0</v>
      </c>
      <c r="E300" s="104">
        <f t="shared" si="20"/>
        <v>2116.9</v>
      </c>
      <c r="F300" s="104">
        <v>2116.9</v>
      </c>
      <c r="G300" s="104">
        <v>0</v>
      </c>
      <c r="H300" s="120">
        <v>64.48</v>
      </c>
    </row>
    <row r="301" spans="2:8" x14ac:dyDescent="0.2">
      <c r="B301" s="15" t="s">
        <v>38</v>
      </c>
      <c r="C301" s="15">
        <v>2049</v>
      </c>
      <c r="D301" s="104">
        <v>0</v>
      </c>
      <c r="E301" s="104">
        <f t="shared" si="20"/>
        <v>2116.9</v>
      </c>
      <c r="F301" s="104">
        <v>2116.9</v>
      </c>
      <c r="G301" s="104">
        <v>0</v>
      </c>
      <c r="H301" s="120">
        <v>64.48</v>
      </c>
    </row>
    <row r="302" spans="2:8" x14ac:dyDescent="0.2">
      <c r="B302" s="15" t="s">
        <v>39</v>
      </c>
      <c r="C302" s="15">
        <v>2049</v>
      </c>
      <c r="D302" s="104">
        <v>0</v>
      </c>
      <c r="E302" s="104">
        <f t="shared" si="20"/>
        <v>2116.9</v>
      </c>
      <c r="F302" s="104">
        <v>2116.9</v>
      </c>
      <c r="G302" s="104">
        <v>0</v>
      </c>
      <c r="H302" s="120">
        <v>64.48</v>
      </c>
    </row>
    <row r="303" spans="2:8" x14ac:dyDescent="0.2">
      <c r="B303" s="15" t="s">
        <v>40</v>
      </c>
      <c r="C303" s="15">
        <v>2049</v>
      </c>
      <c r="D303" s="104">
        <v>0</v>
      </c>
      <c r="E303" s="104">
        <f t="shared" si="20"/>
        <v>2116.9</v>
      </c>
      <c r="F303" s="104">
        <v>2116.9</v>
      </c>
      <c r="G303" s="104">
        <v>0</v>
      </c>
      <c r="H303" s="120">
        <v>64.48</v>
      </c>
    </row>
    <row r="304" spans="2:8" x14ac:dyDescent="0.2">
      <c r="B304" s="15" t="s">
        <v>41</v>
      </c>
      <c r="C304" s="15">
        <v>2049</v>
      </c>
      <c r="D304" s="104">
        <v>0</v>
      </c>
      <c r="E304" s="104">
        <f t="shared" si="20"/>
        <v>2116.9</v>
      </c>
      <c r="F304" s="104">
        <v>2116.9</v>
      </c>
      <c r="G304" s="104">
        <v>0</v>
      </c>
      <c r="H304" s="120">
        <v>64.48</v>
      </c>
    </row>
  </sheetData>
  <mergeCells count="1">
    <mergeCell ref="B2:H2"/>
  </mergeCells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FCA7F-1FE9-B74C-A852-C7CDB2700BD5}">
  <sheetPr>
    <tabColor rgb="FF920000"/>
  </sheetPr>
  <dimension ref="B1:J149"/>
  <sheetViews>
    <sheetView topLeftCell="A130" zoomScaleNormal="100" workbookViewId="0">
      <selection activeCell="I14" sqref="I14"/>
    </sheetView>
  </sheetViews>
  <sheetFormatPr baseColWidth="10" defaultRowHeight="16" x14ac:dyDescent="0.2"/>
  <cols>
    <col min="1" max="1" width="1.1640625" customWidth="1"/>
    <col min="2" max="3" width="20.5" style="31" customWidth="1"/>
    <col min="4" max="4" width="39" customWidth="1"/>
    <col min="5" max="5" width="18.33203125" customWidth="1"/>
    <col min="9" max="9" width="11.83203125" bestFit="1" customWidth="1"/>
    <col min="12" max="12" width="10.83203125" customWidth="1"/>
  </cols>
  <sheetData>
    <row r="1" spans="2:10" ht="3" customHeight="1" x14ac:dyDescent="0.2"/>
    <row r="2" spans="2:10" ht="130.5" customHeight="1" x14ac:dyDescent="0.2">
      <c r="B2" s="152" t="s">
        <v>78</v>
      </c>
      <c r="C2" s="152"/>
      <c r="D2" s="152"/>
      <c r="E2" s="152"/>
      <c r="F2" s="152"/>
      <c r="G2" s="152"/>
      <c r="H2" s="152"/>
    </row>
    <row r="3" spans="2:10" ht="2.25" customHeight="1" x14ac:dyDescent="0.2"/>
    <row r="4" spans="2:10" ht="50" customHeight="1" x14ac:dyDescent="0.2">
      <c r="B4" s="33" t="s">
        <v>28</v>
      </c>
      <c r="C4" s="33" t="s">
        <v>29</v>
      </c>
      <c r="D4" s="91" t="s">
        <v>86</v>
      </c>
      <c r="E4" s="118" t="s">
        <v>87</v>
      </c>
      <c r="F4" s="119" t="s">
        <v>72</v>
      </c>
      <c r="G4" s="119" t="s">
        <v>88</v>
      </c>
      <c r="H4" s="119" t="s">
        <v>89</v>
      </c>
    </row>
    <row r="5" spans="2:10" x14ac:dyDescent="0.2">
      <c r="B5" s="15" t="s">
        <v>34</v>
      </c>
      <c r="C5" s="15">
        <v>2026</v>
      </c>
      <c r="D5" s="104">
        <v>68990</v>
      </c>
      <c r="E5" s="104">
        <f>391.13</f>
        <v>391.13</v>
      </c>
      <c r="F5" s="104">
        <f>18.71</f>
        <v>18.71</v>
      </c>
      <c r="G5" s="104">
        <f>0.93</f>
        <v>0.93</v>
      </c>
      <c r="H5" s="1">
        <v>410.77</v>
      </c>
      <c r="I5" t="s">
        <v>90</v>
      </c>
      <c r="J5" s="123">
        <v>3.3000000000000002E-2</v>
      </c>
    </row>
    <row r="6" spans="2:10" x14ac:dyDescent="0.2">
      <c r="B6" s="15" t="s">
        <v>34</v>
      </c>
      <c r="C6" s="15">
        <v>2026</v>
      </c>
      <c r="D6" s="104">
        <f>D5-E5</f>
        <v>68598.87</v>
      </c>
      <c r="E6" s="104">
        <f t="shared" ref="E6" si="0">H5-G5-F5</f>
        <v>391.13</v>
      </c>
      <c r="F6" s="104">
        <f>ROUND(D6*J$5/12,2)</f>
        <v>188.65</v>
      </c>
      <c r="G6" s="104">
        <f>9.43</f>
        <v>9.43</v>
      </c>
      <c r="H6" s="1">
        <v>590.28</v>
      </c>
      <c r="I6" s="2" t="s">
        <v>91</v>
      </c>
      <c r="J6" s="123">
        <f>3.3%/12</f>
        <v>2.7500000000000003E-3</v>
      </c>
    </row>
    <row r="7" spans="2:10" x14ac:dyDescent="0.2">
      <c r="B7" s="15" t="s">
        <v>35</v>
      </c>
      <c r="C7" s="15">
        <v>2026</v>
      </c>
      <c r="D7" s="104">
        <f>D6-E6</f>
        <v>68207.739999999991</v>
      </c>
      <c r="E7" s="104">
        <f>H6-G6-F6</f>
        <v>392.20000000000005</v>
      </c>
      <c r="F7" s="104">
        <f t="shared" ref="F7:F70" si="1">ROUND(D7*J$5/12,2)</f>
        <v>187.57</v>
      </c>
      <c r="G7" s="104">
        <f>9.43</f>
        <v>9.43</v>
      </c>
      <c r="H7" s="1">
        <v>590.28</v>
      </c>
      <c r="I7" t="s">
        <v>92</v>
      </c>
      <c r="J7" s="1">
        <v>410.77</v>
      </c>
    </row>
    <row r="8" spans="2:10" x14ac:dyDescent="0.2">
      <c r="B8" s="15" t="s">
        <v>36</v>
      </c>
      <c r="C8" s="15">
        <v>2026</v>
      </c>
      <c r="D8" s="104">
        <f>D7-E8</f>
        <v>67814.459999999992</v>
      </c>
      <c r="E8" s="104">
        <f>H7-G7-F7</f>
        <v>393.28000000000003</v>
      </c>
      <c r="F8" s="104">
        <f t="shared" si="1"/>
        <v>186.49</v>
      </c>
      <c r="G8" s="104">
        <f>9.43</f>
        <v>9.43</v>
      </c>
      <c r="H8" s="1">
        <v>590.28</v>
      </c>
    </row>
    <row r="9" spans="2:10" x14ac:dyDescent="0.2">
      <c r="B9" s="15" t="s">
        <v>37</v>
      </c>
      <c r="C9" s="15">
        <v>2026</v>
      </c>
      <c r="D9" s="104">
        <f>D8-E9</f>
        <v>67420.099999999991</v>
      </c>
      <c r="E9" s="104">
        <f>H8-G8-F8</f>
        <v>394.36</v>
      </c>
      <c r="F9" s="104">
        <f t="shared" si="1"/>
        <v>185.41</v>
      </c>
      <c r="G9" s="104">
        <f>9.43</f>
        <v>9.43</v>
      </c>
      <c r="H9" s="1">
        <v>590.28</v>
      </c>
    </row>
    <row r="10" spans="2:10" x14ac:dyDescent="0.2">
      <c r="B10" s="15" t="s">
        <v>38</v>
      </c>
      <c r="C10" s="15">
        <v>2026</v>
      </c>
      <c r="D10" s="104">
        <f>D9-E10</f>
        <v>67024.659999999989</v>
      </c>
      <c r="E10" s="104">
        <f>H9-G9-F9</f>
        <v>395.44000000000005</v>
      </c>
      <c r="F10" s="104">
        <f t="shared" si="1"/>
        <v>184.32</v>
      </c>
      <c r="G10" s="104">
        <f>9.43</f>
        <v>9.43</v>
      </c>
      <c r="H10" s="1">
        <v>590.28</v>
      </c>
    </row>
    <row r="11" spans="2:10" x14ac:dyDescent="0.2">
      <c r="B11" s="15" t="s">
        <v>39</v>
      </c>
      <c r="C11" s="15">
        <v>2026</v>
      </c>
      <c r="D11" s="104">
        <f>D10-E11</f>
        <v>66628.12999999999</v>
      </c>
      <c r="E11" s="104">
        <f>H10-G10-F10</f>
        <v>396.53000000000003</v>
      </c>
      <c r="F11" s="104">
        <f t="shared" si="1"/>
        <v>183.23</v>
      </c>
      <c r="G11" s="104">
        <f>9.43</f>
        <v>9.43</v>
      </c>
      <c r="H11" s="1">
        <v>590.28</v>
      </c>
    </row>
    <row r="12" spans="2:10" x14ac:dyDescent="0.2">
      <c r="B12" s="15" t="s">
        <v>40</v>
      </c>
      <c r="C12" s="15">
        <v>2026</v>
      </c>
      <c r="D12" s="104">
        <f>D11-E12</f>
        <v>66230.509999999995</v>
      </c>
      <c r="E12" s="104">
        <f>H11-G11-F11</f>
        <v>397.62</v>
      </c>
      <c r="F12" s="104">
        <f t="shared" si="1"/>
        <v>182.13</v>
      </c>
      <c r="G12" s="104">
        <f>9.43</f>
        <v>9.43</v>
      </c>
      <c r="H12" s="1">
        <v>590.28</v>
      </c>
    </row>
    <row r="13" spans="2:10" x14ac:dyDescent="0.2">
      <c r="B13" s="15" t="s">
        <v>41</v>
      </c>
      <c r="C13" s="15">
        <v>2026</v>
      </c>
      <c r="D13" s="104">
        <f>D12-E13</f>
        <v>65831.789999999994</v>
      </c>
      <c r="E13" s="104">
        <f>H12-G12-F12</f>
        <v>398.72</v>
      </c>
      <c r="F13" s="104">
        <f t="shared" si="1"/>
        <v>181.04</v>
      </c>
      <c r="G13" s="104">
        <f>9.43</f>
        <v>9.43</v>
      </c>
      <c r="H13" s="1">
        <v>590.28</v>
      </c>
    </row>
    <row r="14" spans="2:10" x14ac:dyDescent="0.2">
      <c r="B14" s="15" t="s">
        <v>30</v>
      </c>
      <c r="C14" s="15">
        <v>2026</v>
      </c>
      <c r="D14" s="104">
        <f>D13-E14</f>
        <v>65431.979999999996</v>
      </c>
      <c r="E14" s="104">
        <f>H13-G13-F13</f>
        <v>399.81000000000006</v>
      </c>
      <c r="F14" s="104">
        <f t="shared" si="1"/>
        <v>179.94</v>
      </c>
      <c r="G14" s="104">
        <f>9.43</f>
        <v>9.43</v>
      </c>
      <c r="H14" s="1">
        <v>590.28</v>
      </c>
    </row>
    <row r="15" spans="2:10" x14ac:dyDescent="0.2">
      <c r="B15" s="15" t="s">
        <v>31</v>
      </c>
      <c r="C15" s="15">
        <v>2027</v>
      </c>
      <c r="D15" s="104">
        <f>D14-E15</f>
        <v>65031.069999999992</v>
      </c>
      <c r="E15" s="104">
        <f>H14-G14-F14</f>
        <v>400.91</v>
      </c>
      <c r="F15" s="104">
        <f t="shared" si="1"/>
        <v>178.84</v>
      </c>
      <c r="G15" s="104">
        <f>9.43</f>
        <v>9.43</v>
      </c>
      <c r="H15" s="1">
        <v>590.28</v>
      </c>
    </row>
    <row r="16" spans="2:10" x14ac:dyDescent="0.2">
      <c r="B16" s="15" t="s">
        <v>32</v>
      </c>
      <c r="C16" s="15">
        <v>2027</v>
      </c>
      <c r="D16" s="104">
        <f>D15-E16</f>
        <v>64629.05999999999</v>
      </c>
      <c r="E16" s="104">
        <f>H15-G15-F15</f>
        <v>402.01</v>
      </c>
      <c r="F16" s="104">
        <f t="shared" si="1"/>
        <v>177.73</v>
      </c>
      <c r="G16" s="104">
        <f>9.43</f>
        <v>9.43</v>
      </c>
      <c r="H16" s="1">
        <v>590.28</v>
      </c>
    </row>
    <row r="17" spans="2:8" x14ac:dyDescent="0.2">
      <c r="B17" s="15" t="s">
        <v>33</v>
      </c>
      <c r="C17" s="15">
        <v>2027</v>
      </c>
      <c r="D17" s="104">
        <f>D16-E17</f>
        <v>64225.939999999988</v>
      </c>
      <c r="E17" s="104">
        <f>H16-G16-F16</f>
        <v>403.12</v>
      </c>
      <c r="F17" s="104">
        <f t="shared" si="1"/>
        <v>176.62</v>
      </c>
      <c r="G17" s="104">
        <f t="shared" ref="G17:G80" si="2">9.43</f>
        <v>9.43</v>
      </c>
      <c r="H17" s="1">
        <v>590.28</v>
      </c>
    </row>
    <row r="18" spans="2:8" x14ac:dyDescent="0.2">
      <c r="B18" s="15" t="s">
        <v>34</v>
      </c>
      <c r="C18" s="15">
        <v>2027</v>
      </c>
      <c r="D18" s="104">
        <f>D17-E18</f>
        <v>63821.709999999985</v>
      </c>
      <c r="E18" s="104">
        <f>H17-G17-F17</f>
        <v>404.23</v>
      </c>
      <c r="F18" s="104">
        <f t="shared" si="1"/>
        <v>175.51</v>
      </c>
      <c r="G18" s="104">
        <f t="shared" si="2"/>
        <v>9.43</v>
      </c>
      <c r="H18" s="1">
        <v>590.28</v>
      </c>
    </row>
    <row r="19" spans="2:8" x14ac:dyDescent="0.2">
      <c r="B19" s="15" t="s">
        <v>35</v>
      </c>
      <c r="C19" s="15">
        <v>2027</v>
      </c>
      <c r="D19" s="104">
        <f>D18-E19</f>
        <v>63416.369999999988</v>
      </c>
      <c r="E19" s="104">
        <f>H18-G18-F18</f>
        <v>405.34000000000003</v>
      </c>
      <c r="F19" s="104">
        <f t="shared" si="1"/>
        <v>174.4</v>
      </c>
      <c r="G19" s="104">
        <f t="shared" si="2"/>
        <v>9.43</v>
      </c>
      <c r="H19" s="1">
        <v>590.28</v>
      </c>
    </row>
    <row r="20" spans="2:8" x14ac:dyDescent="0.2">
      <c r="B20" s="15" t="s">
        <v>36</v>
      </c>
      <c r="C20" s="15">
        <v>2027</v>
      </c>
      <c r="D20" s="104">
        <f>D19-E20</f>
        <v>63009.919999999991</v>
      </c>
      <c r="E20" s="104">
        <f>H19-G19-F19</f>
        <v>406.45000000000005</v>
      </c>
      <c r="F20" s="104">
        <f t="shared" si="1"/>
        <v>173.28</v>
      </c>
      <c r="G20" s="104">
        <f t="shared" si="2"/>
        <v>9.43</v>
      </c>
      <c r="H20" s="1">
        <v>590.28</v>
      </c>
    </row>
    <row r="21" spans="2:8" x14ac:dyDescent="0.2">
      <c r="B21" s="15" t="s">
        <v>37</v>
      </c>
      <c r="C21" s="15">
        <v>2027</v>
      </c>
      <c r="D21" s="104">
        <f>D20-E21</f>
        <v>62602.349999999991</v>
      </c>
      <c r="E21" s="104">
        <f t="shared" ref="E21:E71" si="3">H20-G20-F20</f>
        <v>407.57000000000005</v>
      </c>
      <c r="F21" s="104">
        <f t="shared" si="1"/>
        <v>172.16</v>
      </c>
      <c r="G21" s="104">
        <f t="shared" si="2"/>
        <v>9.43</v>
      </c>
      <c r="H21" s="1">
        <v>590.28</v>
      </c>
    </row>
    <row r="22" spans="2:8" x14ac:dyDescent="0.2">
      <c r="B22" s="15" t="s">
        <v>38</v>
      </c>
      <c r="C22" s="15">
        <v>2027</v>
      </c>
      <c r="D22" s="104">
        <f>D21-E22</f>
        <v>62193.659999999989</v>
      </c>
      <c r="E22" s="104">
        <f t="shared" si="3"/>
        <v>408.69000000000005</v>
      </c>
      <c r="F22" s="104">
        <f t="shared" si="1"/>
        <v>171.03</v>
      </c>
      <c r="G22" s="104">
        <f t="shared" si="2"/>
        <v>9.43</v>
      </c>
      <c r="H22" s="1">
        <v>590.28</v>
      </c>
    </row>
    <row r="23" spans="2:8" x14ac:dyDescent="0.2">
      <c r="B23" s="15" t="s">
        <v>39</v>
      </c>
      <c r="C23" s="15">
        <v>2027</v>
      </c>
      <c r="D23" s="104">
        <f>D22-E23</f>
        <v>61783.839999999989</v>
      </c>
      <c r="E23" s="104">
        <f t="shared" si="3"/>
        <v>409.82000000000005</v>
      </c>
      <c r="F23" s="104">
        <f t="shared" si="1"/>
        <v>169.91</v>
      </c>
      <c r="G23" s="104">
        <f t="shared" si="2"/>
        <v>9.43</v>
      </c>
      <c r="H23" s="1">
        <v>590.28</v>
      </c>
    </row>
    <row r="24" spans="2:8" x14ac:dyDescent="0.2">
      <c r="B24" s="15" t="s">
        <v>40</v>
      </c>
      <c r="C24" s="15">
        <v>2027</v>
      </c>
      <c r="D24" s="104">
        <f>D23-E24</f>
        <v>61372.899999999987</v>
      </c>
      <c r="E24" s="104">
        <f t="shared" si="3"/>
        <v>410.94000000000005</v>
      </c>
      <c r="F24" s="104">
        <f t="shared" si="1"/>
        <v>168.78</v>
      </c>
      <c r="G24" s="104">
        <f t="shared" si="2"/>
        <v>9.43</v>
      </c>
      <c r="H24" s="1">
        <v>590.28</v>
      </c>
    </row>
    <row r="25" spans="2:8" x14ac:dyDescent="0.2">
      <c r="B25" s="15" t="s">
        <v>41</v>
      </c>
      <c r="C25" s="15">
        <v>2027</v>
      </c>
      <c r="D25" s="104">
        <f>D24-E25</f>
        <v>60960.829999999987</v>
      </c>
      <c r="E25" s="104">
        <f t="shared" si="3"/>
        <v>412.07000000000005</v>
      </c>
      <c r="F25" s="104">
        <f t="shared" si="1"/>
        <v>167.64</v>
      </c>
      <c r="G25" s="104">
        <f t="shared" si="2"/>
        <v>9.43</v>
      </c>
      <c r="H25" s="1">
        <v>590.28</v>
      </c>
    </row>
    <row r="26" spans="2:8" x14ac:dyDescent="0.2">
      <c r="B26" s="15" t="s">
        <v>30</v>
      </c>
      <c r="C26" s="15">
        <v>2027</v>
      </c>
      <c r="D26" s="104">
        <f>D25-E26</f>
        <v>60547.619999999988</v>
      </c>
      <c r="E26" s="104">
        <f t="shared" si="3"/>
        <v>413.21000000000004</v>
      </c>
      <c r="F26" s="104">
        <f t="shared" si="1"/>
        <v>166.51</v>
      </c>
      <c r="G26" s="104">
        <f t="shared" si="2"/>
        <v>9.43</v>
      </c>
      <c r="H26" s="1">
        <v>590.28</v>
      </c>
    </row>
    <row r="27" spans="2:8" x14ac:dyDescent="0.2">
      <c r="B27" s="15" t="s">
        <v>31</v>
      </c>
      <c r="C27" s="15">
        <v>2028</v>
      </c>
      <c r="D27" s="104">
        <f>D26-E27</f>
        <v>60133.279999999992</v>
      </c>
      <c r="E27" s="104">
        <f t="shared" si="3"/>
        <v>414.34000000000003</v>
      </c>
      <c r="F27" s="104">
        <f t="shared" si="1"/>
        <v>165.37</v>
      </c>
      <c r="G27" s="104">
        <f t="shared" si="2"/>
        <v>9.43</v>
      </c>
      <c r="H27" s="1">
        <v>590.28</v>
      </c>
    </row>
    <row r="28" spans="2:8" x14ac:dyDescent="0.2">
      <c r="B28" s="15" t="s">
        <v>32</v>
      </c>
      <c r="C28" s="15">
        <v>2028</v>
      </c>
      <c r="D28" s="104">
        <f>D27-E28</f>
        <v>59717.799999999988</v>
      </c>
      <c r="E28" s="104">
        <f t="shared" si="3"/>
        <v>415.48</v>
      </c>
      <c r="F28" s="104">
        <f t="shared" si="1"/>
        <v>164.22</v>
      </c>
      <c r="G28" s="104">
        <f t="shared" si="2"/>
        <v>9.43</v>
      </c>
      <c r="H28" s="1">
        <v>590.28</v>
      </c>
    </row>
    <row r="29" spans="2:8" x14ac:dyDescent="0.2">
      <c r="B29" s="15" t="s">
        <v>33</v>
      </c>
      <c r="C29" s="15">
        <v>2028</v>
      </c>
      <c r="D29" s="104">
        <f>D28-E29</f>
        <v>59301.169999999991</v>
      </c>
      <c r="E29" s="104">
        <f t="shared" si="3"/>
        <v>416.63</v>
      </c>
      <c r="F29" s="104">
        <f t="shared" si="1"/>
        <v>163.08000000000001</v>
      </c>
      <c r="G29" s="104">
        <f t="shared" si="2"/>
        <v>9.43</v>
      </c>
      <c r="H29" s="1">
        <v>590.21</v>
      </c>
    </row>
    <row r="30" spans="2:8" x14ac:dyDescent="0.2">
      <c r="B30" s="15" t="s">
        <v>34</v>
      </c>
      <c r="C30" s="15">
        <v>2028</v>
      </c>
      <c r="D30" s="104">
        <f>D29-E30</f>
        <v>58883.469999999994</v>
      </c>
      <c r="E30" s="104">
        <f t="shared" si="3"/>
        <v>417.70000000000005</v>
      </c>
      <c r="F30" s="104">
        <f t="shared" si="1"/>
        <v>161.93</v>
      </c>
      <c r="G30" s="104">
        <f t="shared" si="2"/>
        <v>9.43</v>
      </c>
      <c r="H30" s="1">
        <v>590.21</v>
      </c>
    </row>
    <row r="31" spans="2:8" x14ac:dyDescent="0.2">
      <c r="B31" s="15" t="s">
        <v>35</v>
      </c>
      <c r="C31" s="15">
        <v>2028</v>
      </c>
      <c r="D31" s="104">
        <f>D30-E31</f>
        <v>58464.619999999995</v>
      </c>
      <c r="E31" s="104">
        <f t="shared" si="3"/>
        <v>418.85000000000008</v>
      </c>
      <c r="F31" s="104">
        <f t="shared" si="1"/>
        <v>160.78</v>
      </c>
      <c r="G31" s="104">
        <f t="shared" si="2"/>
        <v>9.43</v>
      </c>
      <c r="H31" s="1">
        <v>590.21</v>
      </c>
    </row>
    <row r="32" spans="2:8" x14ac:dyDescent="0.2">
      <c r="B32" s="15" t="s">
        <v>36</v>
      </c>
      <c r="C32" s="15">
        <v>2028</v>
      </c>
      <c r="D32" s="104">
        <f>D31-E32</f>
        <v>58044.619999999995</v>
      </c>
      <c r="E32" s="104">
        <f t="shared" si="3"/>
        <v>420.00000000000011</v>
      </c>
      <c r="F32" s="104">
        <f t="shared" si="1"/>
        <v>159.62</v>
      </c>
      <c r="G32" s="104">
        <f t="shared" si="2"/>
        <v>9.43</v>
      </c>
      <c r="H32" s="1">
        <v>590.21</v>
      </c>
    </row>
    <row r="33" spans="2:8" x14ac:dyDescent="0.2">
      <c r="B33" s="15" t="s">
        <v>37</v>
      </c>
      <c r="C33" s="15">
        <v>2028</v>
      </c>
      <c r="D33" s="104">
        <f>D32-E33</f>
        <v>57623.459999999992</v>
      </c>
      <c r="E33" s="104">
        <f t="shared" si="3"/>
        <v>421.16000000000008</v>
      </c>
      <c r="F33" s="104">
        <f t="shared" si="1"/>
        <v>158.46</v>
      </c>
      <c r="G33" s="104">
        <f t="shared" si="2"/>
        <v>9.43</v>
      </c>
      <c r="H33" s="1">
        <v>590.21</v>
      </c>
    </row>
    <row r="34" spans="2:8" x14ac:dyDescent="0.2">
      <c r="B34" s="15" t="s">
        <v>38</v>
      </c>
      <c r="C34" s="15">
        <v>2028</v>
      </c>
      <c r="D34" s="104">
        <f>D33-E34</f>
        <v>57201.139999999992</v>
      </c>
      <c r="E34" s="104">
        <f t="shared" si="3"/>
        <v>422.32000000000005</v>
      </c>
      <c r="F34" s="104">
        <f t="shared" si="1"/>
        <v>157.30000000000001</v>
      </c>
      <c r="G34" s="104">
        <f t="shared" si="2"/>
        <v>9.43</v>
      </c>
      <c r="H34" s="1">
        <v>590.21</v>
      </c>
    </row>
    <row r="35" spans="2:8" x14ac:dyDescent="0.2">
      <c r="B35" s="15" t="s">
        <v>39</v>
      </c>
      <c r="C35" s="15">
        <v>2028</v>
      </c>
      <c r="D35" s="104">
        <f>D34-E35</f>
        <v>56777.659999999989</v>
      </c>
      <c r="E35" s="104">
        <f t="shared" si="3"/>
        <v>423.48000000000008</v>
      </c>
      <c r="F35" s="104">
        <f t="shared" si="1"/>
        <v>156.13999999999999</v>
      </c>
      <c r="G35" s="104">
        <f t="shared" si="2"/>
        <v>9.43</v>
      </c>
      <c r="H35" s="1">
        <v>590.21</v>
      </c>
    </row>
    <row r="36" spans="2:8" x14ac:dyDescent="0.2">
      <c r="B36" s="15" t="s">
        <v>40</v>
      </c>
      <c r="C36" s="15">
        <v>2028</v>
      </c>
      <c r="D36" s="104">
        <f>D35-E36</f>
        <v>56353.01999999999</v>
      </c>
      <c r="E36" s="104">
        <f t="shared" si="3"/>
        <v>424.6400000000001</v>
      </c>
      <c r="F36" s="104">
        <f t="shared" si="1"/>
        <v>154.97</v>
      </c>
      <c r="G36" s="104">
        <f t="shared" si="2"/>
        <v>9.43</v>
      </c>
      <c r="H36" s="1">
        <v>590.21</v>
      </c>
    </row>
    <row r="37" spans="2:8" x14ac:dyDescent="0.2">
      <c r="B37" s="15" t="s">
        <v>41</v>
      </c>
      <c r="C37" s="15">
        <v>2028</v>
      </c>
      <c r="D37" s="104">
        <f>D36-E37</f>
        <v>55927.209999999992</v>
      </c>
      <c r="E37" s="104">
        <f t="shared" si="3"/>
        <v>425.81000000000006</v>
      </c>
      <c r="F37" s="104">
        <f t="shared" si="1"/>
        <v>153.80000000000001</v>
      </c>
      <c r="G37" s="104">
        <f t="shared" si="2"/>
        <v>9.43</v>
      </c>
      <c r="H37" s="1">
        <v>590.21</v>
      </c>
    </row>
    <row r="38" spans="2:8" x14ac:dyDescent="0.2">
      <c r="B38" s="15" t="s">
        <v>30</v>
      </c>
      <c r="C38" s="15">
        <v>2028</v>
      </c>
      <c r="D38" s="104">
        <f>D37-E38</f>
        <v>55500.229999999989</v>
      </c>
      <c r="E38" s="104">
        <f t="shared" si="3"/>
        <v>426.98000000000008</v>
      </c>
      <c r="F38" s="104">
        <f t="shared" si="1"/>
        <v>152.63</v>
      </c>
      <c r="G38" s="104">
        <f t="shared" si="2"/>
        <v>9.43</v>
      </c>
      <c r="H38" s="1">
        <v>590.21</v>
      </c>
    </row>
    <row r="39" spans="2:8" x14ac:dyDescent="0.2">
      <c r="B39" s="15" t="s">
        <v>31</v>
      </c>
      <c r="C39" s="15">
        <v>2029</v>
      </c>
      <c r="D39" s="104">
        <f>D38-E39</f>
        <v>55072.079999999987</v>
      </c>
      <c r="E39" s="104">
        <f t="shared" si="3"/>
        <v>428.15000000000009</v>
      </c>
      <c r="F39" s="104">
        <f t="shared" si="1"/>
        <v>151.44999999999999</v>
      </c>
      <c r="G39" s="104">
        <f t="shared" si="2"/>
        <v>9.43</v>
      </c>
      <c r="H39" s="1">
        <v>590.21</v>
      </c>
    </row>
    <row r="40" spans="2:8" x14ac:dyDescent="0.2">
      <c r="B40" s="15" t="s">
        <v>32</v>
      </c>
      <c r="C40" s="15">
        <v>2029</v>
      </c>
      <c r="D40" s="104">
        <f>D39-E40</f>
        <v>54642.749999999985</v>
      </c>
      <c r="E40" s="104">
        <f t="shared" si="3"/>
        <v>429.3300000000001</v>
      </c>
      <c r="F40" s="104">
        <f t="shared" si="1"/>
        <v>150.27000000000001</v>
      </c>
      <c r="G40" s="104">
        <f t="shared" si="2"/>
        <v>9.43</v>
      </c>
      <c r="H40" s="1">
        <v>590.21</v>
      </c>
    </row>
    <row r="41" spans="2:8" x14ac:dyDescent="0.2">
      <c r="B41" s="15" t="s">
        <v>33</v>
      </c>
      <c r="C41" s="15">
        <v>2029</v>
      </c>
      <c r="D41" s="104">
        <f>D40-E41</f>
        <v>54212.239999999983</v>
      </c>
      <c r="E41" s="104">
        <f t="shared" si="3"/>
        <v>430.5100000000001</v>
      </c>
      <c r="F41" s="104">
        <f t="shared" si="1"/>
        <v>149.08000000000001</v>
      </c>
      <c r="G41" s="104">
        <f t="shared" si="2"/>
        <v>9.43</v>
      </c>
      <c r="H41" s="1">
        <v>589.95000000000005</v>
      </c>
    </row>
    <row r="42" spans="2:8" x14ac:dyDescent="0.2">
      <c r="B42" s="15" t="s">
        <v>34</v>
      </c>
      <c r="C42" s="15">
        <v>2029</v>
      </c>
      <c r="D42" s="104">
        <f>D41-E42</f>
        <v>53780.799999999981</v>
      </c>
      <c r="E42" s="104">
        <f t="shared" si="3"/>
        <v>431.44000000000005</v>
      </c>
      <c r="F42" s="104">
        <f t="shared" si="1"/>
        <v>147.9</v>
      </c>
      <c r="G42" s="104">
        <f t="shared" si="2"/>
        <v>9.43</v>
      </c>
      <c r="H42" s="1">
        <v>589.95000000000005</v>
      </c>
    </row>
    <row r="43" spans="2:8" x14ac:dyDescent="0.2">
      <c r="B43" s="15" t="s">
        <v>35</v>
      </c>
      <c r="C43" s="15">
        <v>2029</v>
      </c>
      <c r="D43" s="104">
        <f>D42-E43</f>
        <v>53348.179999999978</v>
      </c>
      <c r="E43" s="104">
        <f t="shared" si="3"/>
        <v>432.62000000000012</v>
      </c>
      <c r="F43" s="104">
        <f t="shared" si="1"/>
        <v>146.71</v>
      </c>
      <c r="G43" s="104">
        <f t="shared" si="2"/>
        <v>9.43</v>
      </c>
      <c r="H43" s="1">
        <v>589.95000000000005</v>
      </c>
    </row>
    <row r="44" spans="2:8" x14ac:dyDescent="0.2">
      <c r="B44" s="15" t="s">
        <v>36</v>
      </c>
      <c r="C44" s="15">
        <v>2029</v>
      </c>
      <c r="D44" s="104">
        <f>D43-E44</f>
        <v>52914.369999999981</v>
      </c>
      <c r="E44" s="104">
        <f t="shared" si="3"/>
        <v>433.81000000000006</v>
      </c>
      <c r="F44" s="104">
        <f t="shared" si="1"/>
        <v>145.51</v>
      </c>
      <c r="G44" s="104">
        <f t="shared" si="2"/>
        <v>9.43</v>
      </c>
      <c r="H44" s="1">
        <v>589.95000000000005</v>
      </c>
    </row>
    <row r="45" spans="2:8" x14ac:dyDescent="0.2">
      <c r="B45" s="15" t="s">
        <v>37</v>
      </c>
      <c r="C45" s="15">
        <v>2029</v>
      </c>
      <c r="D45" s="104">
        <f>D44-E45</f>
        <v>52479.359999999979</v>
      </c>
      <c r="E45" s="104">
        <f t="shared" si="3"/>
        <v>435.0100000000001</v>
      </c>
      <c r="F45" s="104">
        <f t="shared" si="1"/>
        <v>144.32</v>
      </c>
      <c r="G45" s="104">
        <f t="shared" si="2"/>
        <v>9.43</v>
      </c>
      <c r="H45" s="1">
        <v>589.95000000000005</v>
      </c>
    </row>
    <row r="46" spans="2:8" x14ac:dyDescent="0.2">
      <c r="B46" s="15" t="s">
        <v>38</v>
      </c>
      <c r="C46" s="15">
        <v>2029</v>
      </c>
      <c r="D46" s="104">
        <f>D45-E46</f>
        <v>52043.159999999982</v>
      </c>
      <c r="E46" s="104">
        <f t="shared" si="3"/>
        <v>436.2000000000001</v>
      </c>
      <c r="F46" s="104">
        <f t="shared" si="1"/>
        <v>143.12</v>
      </c>
      <c r="G46" s="104">
        <f t="shared" si="2"/>
        <v>9.43</v>
      </c>
      <c r="H46" s="1">
        <v>589.95000000000005</v>
      </c>
    </row>
    <row r="47" spans="2:8" x14ac:dyDescent="0.2">
      <c r="B47" s="15" t="s">
        <v>39</v>
      </c>
      <c r="C47" s="15">
        <v>2029</v>
      </c>
      <c r="D47" s="104">
        <f>D46-E47</f>
        <v>51605.75999999998</v>
      </c>
      <c r="E47" s="104">
        <f t="shared" si="3"/>
        <v>437.40000000000009</v>
      </c>
      <c r="F47" s="104">
        <f t="shared" si="1"/>
        <v>141.91999999999999</v>
      </c>
      <c r="G47" s="104">
        <f t="shared" si="2"/>
        <v>9.43</v>
      </c>
      <c r="H47" s="1">
        <v>589.95000000000005</v>
      </c>
    </row>
    <row r="48" spans="2:8" x14ac:dyDescent="0.2">
      <c r="B48" s="15" t="s">
        <v>40</v>
      </c>
      <c r="C48" s="15">
        <v>2029</v>
      </c>
      <c r="D48" s="104">
        <f>D47-E48</f>
        <v>51167.159999999982</v>
      </c>
      <c r="E48" s="104">
        <f t="shared" si="3"/>
        <v>438.60000000000014</v>
      </c>
      <c r="F48" s="104">
        <f t="shared" si="1"/>
        <v>140.71</v>
      </c>
      <c r="G48" s="104">
        <f t="shared" si="2"/>
        <v>9.43</v>
      </c>
      <c r="H48" s="1">
        <v>589.95000000000005</v>
      </c>
    </row>
    <row r="49" spans="2:8" x14ac:dyDescent="0.2">
      <c r="B49" s="15" t="s">
        <v>41</v>
      </c>
      <c r="C49" s="15">
        <v>2029</v>
      </c>
      <c r="D49" s="104">
        <f>D48-E49</f>
        <v>50727.349999999984</v>
      </c>
      <c r="E49" s="104">
        <f t="shared" si="3"/>
        <v>439.81000000000006</v>
      </c>
      <c r="F49" s="104">
        <f t="shared" si="1"/>
        <v>139.5</v>
      </c>
      <c r="G49" s="104">
        <f t="shared" si="2"/>
        <v>9.43</v>
      </c>
      <c r="H49" s="1">
        <v>589.95000000000005</v>
      </c>
    </row>
    <row r="50" spans="2:8" x14ac:dyDescent="0.2">
      <c r="B50" s="15" t="s">
        <v>30</v>
      </c>
      <c r="C50" s="15">
        <v>2029</v>
      </c>
      <c r="D50" s="104">
        <f>D49-E50</f>
        <v>50286.329999999987</v>
      </c>
      <c r="E50" s="104">
        <f t="shared" si="3"/>
        <v>441.0200000000001</v>
      </c>
      <c r="F50" s="104">
        <f t="shared" si="1"/>
        <v>138.29</v>
      </c>
      <c r="G50" s="104">
        <f t="shared" si="2"/>
        <v>9.43</v>
      </c>
      <c r="H50" s="1">
        <v>589.95000000000005</v>
      </c>
    </row>
    <row r="51" spans="2:8" x14ac:dyDescent="0.2">
      <c r="B51" s="15" t="s">
        <v>31</v>
      </c>
      <c r="C51" s="15">
        <v>2030</v>
      </c>
      <c r="D51" s="104">
        <f>D50-E51</f>
        <v>49844.099999999984</v>
      </c>
      <c r="E51" s="104">
        <f t="shared" si="3"/>
        <v>442.23000000000013</v>
      </c>
      <c r="F51" s="104">
        <f t="shared" si="1"/>
        <v>137.07</v>
      </c>
      <c r="G51" s="104">
        <f t="shared" si="2"/>
        <v>9.43</v>
      </c>
      <c r="H51" s="1">
        <v>589.95000000000005</v>
      </c>
    </row>
    <row r="52" spans="2:8" x14ac:dyDescent="0.2">
      <c r="B52" s="15" t="s">
        <v>32</v>
      </c>
      <c r="C52" s="15">
        <v>2030</v>
      </c>
      <c r="D52" s="104">
        <f>D51-E52</f>
        <v>49400.649999999987</v>
      </c>
      <c r="E52" s="104">
        <f t="shared" si="3"/>
        <v>443.4500000000001</v>
      </c>
      <c r="F52" s="104">
        <f t="shared" si="1"/>
        <v>135.85</v>
      </c>
      <c r="G52" s="104">
        <f t="shared" si="2"/>
        <v>9.43</v>
      </c>
      <c r="H52" s="1">
        <v>589.95000000000005</v>
      </c>
    </row>
    <row r="53" spans="2:8" x14ac:dyDescent="0.2">
      <c r="B53" s="15" t="s">
        <v>33</v>
      </c>
      <c r="C53" s="15">
        <v>2030</v>
      </c>
      <c r="D53" s="104">
        <f>D52-E53</f>
        <v>48955.979999999989</v>
      </c>
      <c r="E53" s="104">
        <f t="shared" si="3"/>
        <v>444.67000000000007</v>
      </c>
      <c r="F53" s="104">
        <f t="shared" si="1"/>
        <v>134.63</v>
      </c>
      <c r="G53" s="104">
        <f t="shared" si="2"/>
        <v>9.43</v>
      </c>
      <c r="H53" s="1">
        <v>589.55999999999995</v>
      </c>
    </row>
    <row r="54" spans="2:8" x14ac:dyDescent="0.2">
      <c r="B54" s="15" t="s">
        <v>34</v>
      </c>
      <c r="C54" s="15">
        <v>2030</v>
      </c>
      <c r="D54" s="104">
        <f>D53-E54</f>
        <v>48510.479999999989</v>
      </c>
      <c r="E54" s="104">
        <f t="shared" si="3"/>
        <v>445.5</v>
      </c>
      <c r="F54" s="104">
        <f t="shared" si="1"/>
        <v>133.4</v>
      </c>
      <c r="G54" s="104">
        <f t="shared" si="2"/>
        <v>9.43</v>
      </c>
      <c r="H54" s="1">
        <v>589.55999999999995</v>
      </c>
    </row>
    <row r="55" spans="2:8" x14ac:dyDescent="0.2">
      <c r="B55" s="15" t="s">
        <v>35</v>
      </c>
      <c r="C55" s="15">
        <v>2030</v>
      </c>
      <c r="D55" s="104">
        <f>D54-E55</f>
        <v>48063.749999999985</v>
      </c>
      <c r="E55" s="104">
        <f t="shared" si="3"/>
        <v>446.73</v>
      </c>
      <c r="F55" s="104">
        <f t="shared" si="1"/>
        <v>132.18</v>
      </c>
      <c r="G55" s="104">
        <f t="shared" si="2"/>
        <v>9.43</v>
      </c>
      <c r="H55" s="1">
        <v>589.55999999999995</v>
      </c>
    </row>
    <row r="56" spans="2:8" x14ac:dyDescent="0.2">
      <c r="B56" s="15" t="s">
        <v>36</v>
      </c>
      <c r="C56" s="15">
        <v>2030</v>
      </c>
      <c r="D56" s="104">
        <f>D55-E56</f>
        <v>47615.799999999988</v>
      </c>
      <c r="E56" s="104">
        <f t="shared" si="3"/>
        <v>447.95</v>
      </c>
      <c r="F56" s="104">
        <f t="shared" si="1"/>
        <v>130.94</v>
      </c>
      <c r="G56" s="104">
        <f t="shared" si="2"/>
        <v>9.43</v>
      </c>
      <c r="H56" s="1">
        <v>589.55999999999995</v>
      </c>
    </row>
    <row r="57" spans="2:8" x14ac:dyDescent="0.2">
      <c r="B57" s="15" t="s">
        <v>37</v>
      </c>
      <c r="C57" s="15">
        <v>2030</v>
      </c>
      <c r="D57" s="104">
        <f>D56-E57</f>
        <v>47166.609999999986</v>
      </c>
      <c r="E57" s="104">
        <f t="shared" si="3"/>
        <v>449.19</v>
      </c>
      <c r="F57" s="104">
        <f t="shared" si="1"/>
        <v>129.71</v>
      </c>
      <c r="G57" s="104">
        <f t="shared" si="2"/>
        <v>9.43</v>
      </c>
      <c r="H57" s="1">
        <v>589.55999999999995</v>
      </c>
    </row>
    <row r="58" spans="2:8" x14ac:dyDescent="0.2">
      <c r="B58" s="15" t="s">
        <v>38</v>
      </c>
      <c r="C58" s="15">
        <v>2030</v>
      </c>
      <c r="D58" s="104">
        <f>D57-E58</f>
        <v>46716.189999999988</v>
      </c>
      <c r="E58" s="104">
        <f t="shared" si="3"/>
        <v>450.41999999999996</v>
      </c>
      <c r="F58" s="104">
        <f t="shared" si="1"/>
        <v>128.47</v>
      </c>
      <c r="G58" s="104">
        <f t="shared" si="2"/>
        <v>9.43</v>
      </c>
      <c r="H58" s="1">
        <v>589.55999999999995</v>
      </c>
    </row>
    <row r="59" spans="2:8" x14ac:dyDescent="0.2">
      <c r="B59" s="15" t="s">
        <v>39</v>
      </c>
      <c r="C59" s="15">
        <v>2030</v>
      </c>
      <c r="D59" s="104">
        <f>D58-E59</f>
        <v>46264.529999999984</v>
      </c>
      <c r="E59" s="104">
        <f t="shared" si="3"/>
        <v>451.65999999999997</v>
      </c>
      <c r="F59" s="104">
        <f t="shared" si="1"/>
        <v>127.23</v>
      </c>
      <c r="G59" s="104">
        <f t="shared" si="2"/>
        <v>9.43</v>
      </c>
      <c r="H59" s="1">
        <v>589.55999999999995</v>
      </c>
    </row>
    <row r="60" spans="2:8" x14ac:dyDescent="0.2">
      <c r="B60" s="15" t="s">
        <v>40</v>
      </c>
      <c r="C60" s="15">
        <v>2030</v>
      </c>
      <c r="D60" s="104">
        <f>D59-E60</f>
        <v>45811.629999999983</v>
      </c>
      <c r="E60" s="104">
        <f t="shared" si="3"/>
        <v>452.9</v>
      </c>
      <c r="F60" s="104">
        <f t="shared" si="1"/>
        <v>125.98</v>
      </c>
      <c r="G60" s="104">
        <f t="shared" si="2"/>
        <v>9.43</v>
      </c>
      <c r="H60" s="1">
        <v>589.55999999999995</v>
      </c>
    </row>
    <row r="61" spans="2:8" x14ac:dyDescent="0.2">
      <c r="B61" s="15" t="s">
        <v>41</v>
      </c>
      <c r="C61" s="15">
        <v>2030</v>
      </c>
      <c r="D61" s="104">
        <f>D60-E61</f>
        <v>45357.479999999981</v>
      </c>
      <c r="E61" s="104">
        <f t="shared" si="3"/>
        <v>454.15</v>
      </c>
      <c r="F61" s="104">
        <f t="shared" si="1"/>
        <v>124.73</v>
      </c>
      <c r="G61" s="104">
        <f t="shared" si="2"/>
        <v>9.43</v>
      </c>
      <c r="H61" s="1">
        <v>589.55999999999995</v>
      </c>
    </row>
    <row r="62" spans="2:8" x14ac:dyDescent="0.2">
      <c r="B62" s="15" t="s">
        <v>30</v>
      </c>
      <c r="C62" s="15">
        <v>2030</v>
      </c>
      <c r="D62" s="104">
        <f>D61-E62</f>
        <v>44902.07999999998</v>
      </c>
      <c r="E62" s="104">
        <f t="shared" si="3"/>
        <v>455.4</v>
      </c>
      <c r="F62" s="104">
        <f t="shared" si="1"/>
        <v>123.48</v>
      </c>
      <c r="G62" s="104">
        <f t="shared" si="2"/>
        <v>9.43</v>
      </c>
      <c r="H62" s="1">
        <v>589.55999999999995</v>
      </c>
    </row>
    <row r="63" spans="2:8" x14ac:dyDescent="0.2">
      <c r="B63" s="15" t="s">
        <v>31</v>
      </c>
      <c r="C63" s="15">
        <v>2031</v>
      </c>
      <c r="D63" s="104">
        <f>D62-E63</f>
        <v>44445.429999999978</v>
      </c>
      <c r="E63" s="104">
        <f t="shared" si="3"/>
        <v>456.65</v>
      </c>
      <c r="F63" s="104">
        <f t="shared" si="1"/>
        <v>122.22</v>
      </c>
      <c r="G63" s="104">
        <f t="shared" si="2"/>
        <v>9.43</v>
      </c>
      <c r="H63" s="1">
        <v>589.55999999999995</v>
      </c>
    </row>
    <row r="64" spans="2:8" x14ac:dyDescent="0.2">
      <c r="B64" s="15" t="s">
        <v>32</v>
      </c>
      <c r="C64" s="15">
        <v>2031</v>
      </c>
      <c r="D64" s="104">
        <f>D63-E64</f>
        <v>43987.519999999975</v>
      </c>
      <c r="E64" s="104">
        <f t="shared" si="3"/>
        <v>457.90999999999997</v>
      </c>
      <c r="F64" s="104">
        <f t="shared" si="1"/>
        <v>120.97</v>
      </c>
      <c r="G64" s="104">
        <f t="shared" si="2"/>
        <v>9.43</v>
      </c>
      <c r="H64" s="1">
        <v>589.55999999999995</v>
      </c>
    </row>
    <row r="65" spans="2:8" x14ac:dyDescent="0.2">
      <c r="B65" s="15" t="s">
        <v>33</v>
      </c>
      <c r="C65" s="15">
        <v>2031</v>
      </c>
      <c r="D65" s="104">
        <f>D64-E65</f>
        <v>43528.359999999971</v>
      </c>
      <c r="E65" s="104">
        <f t="shared" si="3"/>
        <v>459.15999999999997</v>
      </c>
      <c r="F65" s="104">
        <f t="shared" si="1"/>
        <v>119.7</v>
      </c>
      <c r="G65" s="104">
        <f t="shared" si="2"/>
        <v>9.43</v>
      </c>
      <c r="H65" s="1">
        <v>589</v>
      </c>
    </row>
    <row r="66" spans="2:8" x14ac:dyDescent="0.2">
      <c r="B66" s="15" t="s">
        <v>34</v>
      </c>
      <c r="C66" s="15">
        <v>2031</v>
      </c>
      <c r="D66" s="104">
        <f>D65-E66</f>
        <v>43068.489999999969</v>
      </c>
      <c r="E66" s="104">
        <f t="shared" si="3"/>
        <v>459.87000000000006</v>
      </c>
      <c r="F66" s="104">
        <f t="shared" si="1"/>
        <v>118.44</v>
      </c>
      <c r="G66" s="104">
        <f t="shared" si="2"/>
        <v>9.43</v>
      </c>
      <c r="H66" s="1">
        <v>589</v>
      </c>
    </row>
    <row r="67" spans="2:8" x14ac:dyDescent="0.2">
      <c r="B67" s="15" t="s">
        <v>35</v>
      </c>
      <c r="C67" s="15">
        <v>2031</v>
      </c>
      <c r="D67" s="104">
        <f>D66-E67</f>
        <v>42607.359999999971</v>
      </c>
      <c r="E67" s="104">
        <f t="shared" si="3"/>
        <v>461.13000000000005</v>
      </c>
      <c r="F67" s="104">
        <f t="shared" si="1"/>
        <v>117.17</v>
      </c>
      <c r="G67" s="104">
        <f t="shared" si="2"/>
        <v>9.43</v>
      </c>
      <c r="H67" s="1">
        <v>589</v>
      </c>
    </row>
    <row r="68" spans="2:8" x14ac:dyDescent="0.2">
      <c r="B68" s="15" t="s">
        <v>36</v>
      </c>
      <c r="C68" s="15">
        <v>2031</v>
      </c>
      <c r="D68" s="104">
        <f>D67-E68</f>
        <v>42144.95999999997</v>
      </c>
      <c r="E68" s="104">
        <f t="shared" si="3"/>
        <v>462.40000000000003</v>
      </c>
      <c r="F68" s="104">
        <f t="shared" si="1"/>
        <v>115.9</v>
      </c>
      <c r="G68" s="104">
        <f t="shared" si="2"/>
        <v>9.43</v>
      </c>
      <c r="H68" s="1">
        <v>589</v>
      </c>
    </row>
    <row r="69" spans="2:8" x14ac:dyDescent="0.2">
      <c r="B69" s="15" t="s">
        <v>37</v>
      </c>
      <c r="C69" s="15">
        <v>2031</v>
      </c>
      <c r="D69" s="104">
        <f>D68-E69</f>
        <v>41681.289999999972</v>
      </c>
      <c r="E69" s="104">
        <f t="shared" si="3"/>
        <v>463.67000000000007</v>
      </c>
      <c r="F69" s="104">
        <f t="shared" si="1"/>
        <v>114.62</v>
      </c>
      <c r="G69" s="104">
        <f t="shared" si="2"/>
        <v>9.43</v>
      </c>
      <c r="H69" s="1">
        <v>589</v>
      </c>
    </row>
    <row r="70" spans="2:8" x14ac:dyDescent="0.2">
      <c r="B70" s="15" t="s">
        <v>38</v>
      </c>
      <c r="C70" s="15">
        <v>2031</v>
      </c>
      <c r="D70" s="104">
        <f>D69-E70</f>
        <v>41216.339999999975</v>
      </c>
      <c r="E70" s="104">
        <f t="shared" si="3"/>
        <v>464.95000000000005</v>
      </c>
      <c r="F70" s="104">
        <f t="shared" si="1"/>
        <v>113.34</v>
      </c>
      <c r="G70" s="104">
        <f t="shared" si="2"/>
        <v>9.43</v>
      </c>
      <c r="H70" s="1">
        <v>589</v>
      </c>
    </row>
    <row r="71" spans="2:8" x14ac:dyDescent="0.2">
      <c r="B71" s="15" t="s">
        <v>39</v>
      </c>
      <c r="C71" s="15">
        <v>2031</v>
      </c>
      <c r="D71" s="104">
        <f>D70-E71</f>
        <v>40750.109999999971</v>
      </c>
      <c r="E71" s="104">
        <f t="shared" si="3"/>
        <v>466.23</v>
      </c>
      <c r="F71" s="104">
        <f t="shared" ref="F71:F134" si="4">ROUND(D71*J$5/12,2)</f>
        <v>112.06</v>
      </c>
      <c r="G71" s="104">
        <f t="shared" si="2"/>
        <v>9.43</v>
      </c>
      <c r="H71" s="1">
        <v>589</v>
      </c>
    </row>
    <row r="72" spans="2:8" x14ac:dyDescent="0.2">
      <c r="B72" s="15" t="s">
        <v>40</v>
      </c>
      <c r="C72" s="15">
        <v>2031</v>
      </c>
      <c r="D72" s="104">
        <f>D71-E72</f>
        <v>40282.599999999969</v>
      </c>
      <c r="E72" s="104">
        <f t="shared" ref="E72:E135" si="5">H71-G71-F71</f>
        <v>467.51000000000005</v>
      </c>
      <c r="F72" s="104">
        <f t="shared" si="4"/>
        <v>110.78</v>
      </c>
      <c r="G72" s="104">
        <f t="shared" si="2"/>
        <v>9.43</v>
      </c>
      <c r="H72" s="1">
        <v>589</v>
      </c>
    </row>
    <row r="73" spans="2:8" x14ac:dyDescent="0.2">
      <c r="B73" s="15" t="s">
        <v>41</v>
      </c>
      <c r="C73" s="15">
        <v>2031</v>
      </c>
      <c r="D73" s="104">
        <f>D72-E73</f>
        <v>39813.809999999969</v>
      </c>
      <c r="E73" s="104">
        <f t="shared" si="5"/>
        <v>468.79000000000008</v>
      </c>
      <c r="F73" s="104">
        <f t="shared" si="4"/>
        <v>109.49</v>
      </c>
      <c r="G73" s="104">
        <f t="shared" si="2"/>
        <v>9.43</v>
      </c>
      <c r="H73" s="1">
        <v>589</v>
      </c>
    </row>
    <row r="74" spans="2:8" x14ac:dyDescent="0.2">
      <c r="B74" s="15" t="s">
        <v>30</v>
      </c>
      <c r="C74" s="15">
        <v>2031</v>
      </c>
      <c r="D74" s="104">
        <f>D73-E74</f>
        <v>39343.729999999967</v>
      </c>
      <c r="E74" s="104">
        <f t="shared" si="5"/>
        <v>470.08000000000004</v>
      </c>
      <c r="F74" s="104">
        <f t="shared" si="4"/>
        <v>108.2</v>
      </c>
      <c r="G74" s="104">
        <f t="shared" si="2"/>
        <v>9.43</v>
      </c>
      <c r="H74" s="1">
        <v>589</v>
      </c>
    </row>
    <row r="75" spans="2:8" x14ac:dyDescent="0.2">
      <c r="B75" s="15" t="s">
        <v>31</v>
      </c>
      <c r="C75" s="15">
        <v>2032</v>
      </c>
      <c r="D75" s="104">
        <f>D74-E75</f>
        <v>38872.359999999964</v>
      </c>
      <c r="E75" s="104">
        <f t="shared" si="5"/>
        <v>471.37000000000006</v>
      </c>
      <c r="F75" s="104">
        <f t="shared" si="4"/>
        <v>106.9</v>
      </c>
      <c r="G75" s="104">
        <f t="shared" si="2"/>
        <v>9.43</v>
      </c>
      <c r="H75" s="1">
        <v>589</v>
      </c>
    </row>
    <row r="76" spans="2:8" x14ac:dyDescent="0.2">
      <c r="B76" s="15" t="s">
        <v>32</v>
      </c>
      <c r="C76" s="15">
        <v>2032</v>
      </c>
      <c r="D76" s="104">
        <f>D75-E76</f>
        <v>38399.689999999966</v>
      </c>
      <c r="E76" s="104">
        <f t="shared" si="5"/>
        <v>472.67000000000007</v>
      </c>
      <c r="F76" s="104">
        <f t="shared" si="4"/>
        <v>105.6</v>
      </c>
      <c r="G76" s="104">
        <f t="shared" si="2"/>
        <v>9.43</v>
      </c>
      <c r="H76" s="1">
        <v>589</v>
      </c>
    </row>
    <row r="77" spans="2:8" x14ac:dyDescent="0.2">
      <c r="B77" s="15" t="s">
        <v>33</v>
      </c>
      <c r="C77" s="15">
        <v>2032</v>
      </c>
      <c r="D77" s="104">
        <f>D76-E77</f>
        <v>37925.719999999965</v>
      </c>
      <c r="E77" s="104">
        <f t="shared" si="5"/>
        <v>473.97</v>
      </c>
      <c r="F77" s="104">
        <f t="shared" si="4"/>
        <v>104.3</v>
      </c>
      <c r="G77" s="104">
        <f t="shared" si="2"/>
        <v>9.43</v>
      </c>
      <c r="H77" s="1">
        <v>589</v>
      </c>
    </row>
    <row r="78" spans="2:8" x14ac:dyDescent="0.2">
      <c r="B78" s="15" t="s">
        <v>34</v>
      </c>
      <c r="C78" s="15">
        <v>2032</v>
      </c>
      <c r="D78" s="104">
        <f>D77-E78</f>
        <v>37450.449999999968</v>
      </c>
      <c r="E78" s="104">
        <f t="shared" si="5"/>
        <v>475.27000000000004</v>
      </c>
      <c r="F78" s="104">
        <f t="shared" si="4"/>
        <v>102.99</v>
      </c>
      <c r="G78" s="104">
        <f t="shared" si="2"/>
        <v>9.43</v>
      </c>
      <c r="H78" s="1">
        <v>588.27</v>
      </c>
    </row>
    <row r="79" spans="2:8" x14ac:dyDescent="0.2">
      <c r="B79" s="15" t="s">
        <v>35</v>
      </c>
      <c r="C79" s="15">
        <v>2032</v>
      </c>
      <c r="D79" s="104">
        <f>D78-E79</f>
        <v>36974.599999999969</v>
      </c>
      <c r="E79" s="104">
        <f t="shared" si="5"/>
        <v>475.85</v>
      </c>
      <c r="F79" s="104">
        <f t="shared" si="4"/>
        <v>101.68</v>
      </c>
      <c r="G79" s="104">
        <f t="shared" si="2"/>
        <v>9.43</v>
      </c>
      <c r="H79" s="1">
        <v>588.27</v>
      </c>
    </row>
    <row r="80" spans="2:8" x14ac:dyDescent="0.2">
      <c r="B80" s="15" t="s">
        <v>36</v>
      </c>
      <c r="C80" s="15">
        <v>2032</v>
      </c>
      <c r="D80" s="104">
        <f>D79-E80</f>
        <v>36497.439999999966</v>
      </c>
      <c r="E80" s="104">
        <f t="shared" si="5"/>
        <v>477.16</v>
      </c>
      <c r="F80" s="104">
        <f t="shared" si="4"/>
        <v>100.37</v>
      </c>
      <c r="G80" s="104">
        <f t="shared" si="2"/>
        <v>9.43</v>
      </c>
      <c r="H80" s="1">
        <v>588.27</v>
      </c>
    </row>
    <row r="81" spans="2:8" x14ac:dyDescent="0.2">
      <c r="B81" s="15" t="s">
        <v>37</v>
      </c>
      <c r="C81" s="15">
        <v>2032</v>
      </c>
      <c r="D81" s="104">
        <f>D80-E81</f>
        <v>36018.969999999965</v>
      </c>
      <c r="E81" s="104">
        <f t="shared" si="5"/>
        <v>478.47</v>
      </c>
      <c r="F81" s="104">
        <f t="shared" si="4"/>
        <v>99.05</v>
      </c>
      <c r="G81" s="104">
        <f t="shared" ref="G81:G144" si="6">9.43</f>
        <v>9.43</v>
      </c>
      <c r="H81" s="1">
        <v>588.27</v>
      </c>
    </row>
    <row r="82" spans="2:8" x14ac:dyDescent="0.2">
      <c r="B82" s="15" t="s">
        <v>38</v>
      </c>
      <c r="C82" s="15">
        <v>2032</v>
      </c>
      <c r="D82" s="104">
        <f>D81-E82</f>
        <v>35539.179999999964</v>
      </c>
      <c r="E82" s="104">
        <f t="shared" si="5"/>
        <v>479.79</v>
      </c>
      <c r="F82" s="104">
        <f t="shared" si="4"/>
        <v>97.73</v>
      </c>
      <c r="G82" s="104">
        <f t="shared" si="6"/>
        <v>9.43</v>
      </c>
      <c r="H82" s="1">
        <v>588.27</v>
      </c>
    </row>
    <row r="83" spans="2:8" x14ac:dyDescent="0.2">
      <c r="B83" s="15" t="s">
        <v>39</v>
      </c>
      <c r="C83" s="15">
        <v>2032</v>
      </c>
      <c r="D83" s="104">
        <f>D82-E83</f>
        <v>35058.069999999963</v>
      </c>
      <c r="E83" s="104">
        <f t="shared" si="5"/>
        <v>481.11</v>
      </c>
      <c r="F83" s="104">
        <f t="shared" si="4"/>
        <v>96.41</v>
      </c>
      <c r="G83" s="104">
        <f t="shared" si="6"/>
        <v>9.43</v>
      </c>
      <c r="H83" s="1">
        <v>588.27</v>
      </c>
    </row>
    <row r="84" spans="2:8" x14ac:dyDescent="0.2">
      <c r="B84" s="15" t="s">
        <v>40</v>
      </c>
      <c r="C84" s="15">
        <v>2032</v>
      </c>
      <c r="D84" s="104">
        <f>D83-E84</f>
        <v>34575.639999999963</v>
      </c>
      <c r="E84" s="104">
        <f t="shared" si="5"/>
        <v>482.43000000000006</v>
      </c>
      <c r="F84" s="104">
        <f t="shared" si="4"/>
        <v>95.08</v>
      </c>
      <c r="G84" s="104">
        <f t="shared" si="6"/>
        <v>9.43</v>
      </c>
      <c r="H84" s="1">
        <v>588.27</v>
      </c>
    </row>
    <row r="85" spans="2:8" x14ac:dyDescent="0.2">
      <c r="B85" s="15" t="s">
        <v>41</v>
      </c>
      <c r="C85" s="15">
        <v>2032</v>
      </c>
      <c r="D85" s="104">
        <f>D84-E85</f>
        <v>34091.879999999961</v>
      </c>
      <c r="E85" s="104">
        <f t="shared" si="5"/>
        <v>483.76000000000005</v>
      </c>
      <c r="F85" s="104">
        <f t="shared" si="4"/>
        <v>93.75</v>
      </c>
      <c r="G85" s="104">
        <f t="shared" si="6"/>
        <v>9.43</v>
      </c>
      <c r="H85" s="1">
        <v>588.27</v>
      </c>
    </row>
    <row r="86" spans="2:8" x14ac:dyDescent="0.2">
      <c r="B86" s="15" t="s">
        <v>30</v>
      </c>
      <c r="C86" s="15">
        <v>2032</v>
      </c>
      <c r="D86" s="104">
        <f>D85-E86</f>
        <v>33606.789999999964</v>
      </c>
      <c r="E86" s="104">
        <f t="shared" si="5"/>
        <v>485.09000000000003</v>
      </c>
      <c r="F86" s="104">
        <f t="shared" si="4"/>
        <v>92.42</v>
      </c>
      <c r="G86" s="104">
        <f t="shared" si="6"/>
        <v>9.43</v>
      </c>
      <c r="H86" s="1">
        <v>588.27</v>
      </c>
    </row>
    <row r="87" spans="2:8" x14ac:dyDescent="0.2">
      <c r="B87" s="15" t="s">
        <v>31</v>
      </c>
      <c r="C87" s="15">
        <v>2033</v>
      </c>
      <c r="D87" s="104">
        <f>D86-E87</f>
        <v>33120.369999999966</v>
      </c>
      <c r="E87" s="104">
        <f t="shared" si="5"/>
        <v>486.42</v>
      </c>
      <c r="F87" s="104">
        <f t="shared" si="4"/>
        <v>91.08</v>
      </c>
      <c r="G87" s="104">
        <f t="shared" si="6"/>
        <v>9.43</v>
      </c>
      <c r="H87" s="1">
        <v>588.27</v>
      </c>
    </row>
    <row r="88" spans="2:8" x14ac:dyDescent="0.2">
      <c r="B88" s="15" t="s">
        <v>32</v>
      </c>
      <c r="C88" s="15">
        <v>2033</v>
      </c>
      <c r="D88" s="104">
        <f>D87-E88</f>
        <v>32632.609999999968</v>
      </c>
      <c r="E88" s="104">
        <f t="shared" si="5"/>
        <v>487.76000000000005</v>
      </c>
      <c r="F88" s="104">
        <f t="shared" si="4"/>
        <v>89.74</v>
      </c>
      <c r="G88" s="104">
        <f t="shared" si="6"/>
        <v>9.43</v>
      </c>
      <c r="H88" s="1">
        <v>588.27</v>
      </c>
    </row>
    <row r="89" spans="2:8" x14ac:dyDescent="0.2">
      <c r="B89" s="15" t="s">
        <v>33</v>
      </c>
      <c r="C89" s="15">
        <v>2033</v>
      </c>
      <c r="D89" s="104">
        <f>D88-E89</f>
        <v>32143.509999999969</v>
      </c>
      <c r="E89" s="104">
        <f t="shared" si="5"/>
        <v>489.1</v>
      </c>
      <c r="F89" s="104">
        <f t="shared" si="4"/>
        <v>88.39</v>
      </c>
      <c r="G89" s="104">
        <f t="shared" si="6"/>
        <v>9.43</v>
      </c>
      <c r="H89" s="1">
        <v>587.33000000000004</v>
      </c>
    </row>
    <row r="90" spans="2:8" x14ac:dyDescent="0.2">
      <c r="B90" s="15" t="s">
        <v>34</v>
      </c>
      <c r="C90" s="15">
        <v>2033</v>
      </c>
      <c r="D90" s="104">
        <f>D89-E90</f>
        <v>31653.999999999971</v>
      </c>
      <c r="E90" s="104">
        <f t="shared" si="5"/>
        <v>489.5100000000001</v>
      </c>
      <c r="F90" s="104">
        <f t="shared" si="4"/>
        <v>87.05</v>
      </c>
      <c r="G90" s="104">
        <f t="shared" si="6"/>
        <v>9.43</v>
      </c>
      <c r="H90" s="1">
        <v>587.33000000000004</v>
      </c>
    </row>
    <row r="91" spans="2:8" x14ac:dyDescent="0.2">
      <c r="B91" s="15" t="s">
        <v>35</v>
      </c>
      <c r="C91" s="15">
        <v>2033</v>
      </c>
      <c r="D91" s="104">
        <f>D90-E91</f>
        <v>31163.149999999972</v>
      </c>
      <c r="E91" s="104">
        <f t="shared" si="5"/>
        <v>490.85000000000008</v>
      </c>
      <c r="F91" s="104">
        <f t="shared" si="4"/>
        <v>85.7</v>
      </c>
      <c r="G91" s="104">
        <f t="shared" si="6"/>
        <v>9.43</v>
      </c>
      <c r="H91" s="1">
        <v>587.33000000000004</v>
      </c>
    </row>
    <row r="92" spans="2:8" x14ac:dyDescent="0.2">
      <c r="B92" s="15" t="s">
        <v>36</v>
      </c>
      <c r="C92" s="15">
        <v>2033</v>
      </c>
      <c r="D92" s="104">
        <f>D91-E92</f>
        <v>30670.949999999972</v>
      </c>
      <c r="E92" s="104">
        <f t="shared" si="5"/>
        <v>492.2000000000001</v>
      </c>
      <c r="F92" s="104">
        <f t="shared" si="4"/>
        <v>84.35</v>
      </c>
      <c r="G92" s="104">
        <f t="shared" si="6"/>
        <v>9.43</v>
      </c>
      <c r="H92" s="1">
        <v>587.33000000000004</v>
      </c>
    </row>
    <row r="93" spans="2:8" x14ac:dyDescent="0.2">
      <c r="B93" s="15" t="s">
        <v>37</v>
      </c>
      <c r="C93" s="15">
        <v>2033</v>
      </c>
      <c r="D93" s="104">
        <f>D92-E93</f>
        <v>30177.399999999972</v>
      </c>
      <c r="E93" s="104">
        <f t="shared" si="5"/>
        <v>493.55000000000007</v>
      </c>
      <c r="F93" s="104">
        <f t="shared" si="4"/>
        <v>82.99</v>
      </c>
      <c r="G93" s="104">
        <f t="shared" si="6"/>
        <v>9.43</v>
      </c>
      <c r="H93" s="1">
        <v>587.33000000000004</v>
      </c>
    </row>
    <row r="94" spans="2:8" x14ac:dyDescent="0.2">
      <c r="B94" s="15" t="s">
        <v>38</v>
      </c>
      <c r="C94" s="15">
        <v>2033</v>
      </c>
      <c r="D94" s="104">
        <f>D93-E94</f>
        <v>29682.489999999972</v>
      </c>
      <c r="E94" s="104">
        <f t="shared" si="5"/>
        <v>494.91000000000008</v>
      </c>
      <c r="F94" s="104">
        <f t="shared" si="4"/>
        <v>81.63</v>
      </c>
      <c r="G94" s="104">
        <f t="shared" si="6"/>
        <v>9.43</v>
      </c>
      <c r="H94" s="1">
        <v>587.33000000000004</v>
      </c>
    </row>
    <row r="95" spans="2:8" x14ac:dyDescent="0.2">
      <c r="B95" s="15" t="s">
        <v>39</v>
      </c>
      <c r="C95" s="15">
        <v>2033</v>
      </c>
      <c r="D95" s="104">
        <f>D94-E95</f>
        <v>29186.219999999972</v>
      </c>
      <c r="E95" s="104">
        <f t="shared" si="5"/>
        <v>496.2700000000001</v>
      </c>
      <c r="F95" s="104">
        <f t="shared" si="4"/>
        <v>80.260000000000005</v>
      </c>
      <c r="G95" s="104">
        <f t="shared" si="6"/>
        <v>9.43</v>
      </c>
      <c r="H95" s="1">
        <v>587.33000000000004</v>
      </c>
    </row>
    <row r="96" spans="2:8" x14ac:dyDescent="0.2">
      <c r="B96" s="15" t="s">
        <v>40</v>
      </c>
      <c r="C96" s="15">
        <v>2033</v>
      </c>
      <c r="D96" s="104">
        <f>D95-E96</f>
        <v>28688.579999999973</v>
      </c>
      <c r="E96" s="104">
        <f t="shared" si="5"/>
        <v>497.6400000000001</v>
      </c>
      <c r="F96" s="104">
        <f t="shared" si="4"/>
        <v>78.89</v>
      </c>
      <c r="G96" s="104">
        <f t="shared" si="6"/>
        <v>9.43</v>
      </c>
      <c r="H96" s="1">
        <v>587.33000000000004</v>
      </c>
    </row>
    <row r="97" spans="2:8" x14ac:dyDescent="0.2">
      <c r="B97" s="15" t="s">
        <v>41</v>
      </c>
      <c r="C97" s="15">
        <v>2033</v>
      </c>
      <c r="D97" s="104">
        <f>D96-E97</f>
        <v>28189.569999999974</v>
      </c>
      <c r="E97" s="104">
        <f t="shared" si="5"/>
        <v>499.0100000000001</v>
      </c>
      <c r="F97" s="104">
        <f t="shared" si="4"/>
        <v>77.52</v>
      </c>
      <c r="G97" s="104">
        <f t="shared" si="6"/>
        <v>9.43</v>
      </c>
      <c r="H97" s="1">
        <v>587.33000000000004</v>
      </c>
    </row>
    <row r="98" spans="2:8" x14ac:dyDescent="0.2">
      <c r="B98" s="15" t="s">
        <v>30</v>
      </c>
      <c r="C98" s="15">
        <v>2033</v>
      </c>
      <c r="D98" s="104">
        <f>D97-E98</f>
        <v>27689.189999999973</v>
      </c>
      <c r="E98" s="104">
        <f t="shared" si="5"/>
        <v>500.38000000000011</v>
      </c>
      <c r="F98" s="104">
        <f t="shared" si="4"/>
        <v>76.150000000000006</v>
      </c>
      <c r="G98" s="104">
        <f t="shared" si="6"/>
        <v>9.43</v>
      </c>
      <c r="H98" s="1">
        <v>587.33000000000004</v>
      </c>
    </row>
    <row r="99" spans="2:8" x14ac:dyDescent="0.2">
      <c r="B99" s="15" t="s">
        <v>31</v>
      </c>
      <c r="C99" s="15">
        <v>2034</v>
      </c>
      <c r="D99" s="104">
        <f>D98-E99</f>
        <v>27187.439999999973</v>
      </c>
      <c r="E99" s="104">
        <f t="shared" si="5"/>
        <v>501.75000000000011</v>
      </c>
      <c r="F99" s="104">
        <f t="shared" si="4"/>
        <v>74.77</v>
      </c>
      <c r="G99" s="104">
        <f t="shared" si="6"/>
        <v>9.43</v>
      </c>
      <c r="H99" s="1">
        <v>587.33000000000004</v>
      </c>
    </row>
    <row r="100" spans="2:8" x14ac:dyDescent="0.2">
      <c r="B100" s="15" t="s">
        <v>32</v>
      </c>
      <c r="C100" s="15">
        <v>2034</v>
      </c>
      <c r="D100" s="104">
        <f>D99-E100</f>
        <v>26684.309999999972</v>
      </c>
      <c r="E100" s="104">
        <f t="shared" si="5"/>
        <v>503.13000000000011</v>
      </c>
      <c r="F100" s="104">
        <f t="shared" si="4"/>
        <v>73.38</v>
      </c>
      <c r="G100" s="104">
        <f t="shared" si="6"/>
        <v>9.43</v>
      </c>
      <c r="H100" s="1">
        <v>587.33000000000004</v>
      </c>
    </row>
    <row r="101" spans="2:8" x14ac:dyDescent="0.2">
      <c r="B101" s="15" t="s">
        <v>33</v>
      </c>
      <c r="C101" s="15">
        <v>2034</v>
      </c>
      <c r="D101" s="104">
        <f>D100-E101</f>
        <v>26179.789999999972</v>
      </c>
      <c r="E101" s="104">
        <f t="shared" si="5"/>
        <v>504.5200000000001</v>
      </c>
      <c r="F101" s="104">
        <f t="shared" si="4"/>
        <v>71.989999999999995</v>
      </c>
      <c r="G101" s="104">
        <f t="shared" si="6"/>
        <v>9.43</v>
      </c>
      <c r="H101" s="1">
        <v>586.33000000000004</v>
      </c>
    </row>
    <row r="102" spans="2:8" x14ac:dyDescent="0.2">
      <c r="B102" s="15" t="s">
        <v>34</v>
      </c>
      <c r="C102" s="15">
        <v>2034</v>
      </c>
      <c r="D102" s="104">
        <f>D101-E102</f>
        <v>25674.879999999972</v>
      </c>
      <c r="E102" s="104">
        <f t="shared" si="5"/>
        <v>504.91000000000008</v>
      </c>
      <c r="F102" s="104">
        <f t="shared" si="4"/>
        <v>70.61</v>
      </c>
      <c r="G102" s="104">
        <f t="shared" si="6"/>
        <v>9.43</v>
      </c>
      <c r="H102" s="1">
        <v>586.33000000000004</v>
      </c>
    </row>
    <row r="103" spans="2:8" x14ac:dyDescent="0.2">
      <c r="B103" s="15" t="s">
        <v>35</v>
      </c>
      <c r="C103" s="15">
        <v>2034</v>
      </c>
      <c r="D103" s="104">
        <f>D102-E103</f>
        <v>25168.589999999971</v>
      </c>
      <c r="E103" s="104">
        <f t="shared" si="5"/>
        <v>506.29000000000008</v>
      </c>
      <c r="F103" s="104">
        <f t="shared" si="4"/>
        <v>69.209999999999994</v>
      </c>
      <c r="G103" s="104">
        <f t="shared" si="6"/>
        <v>9.43</v>
      </c>
      <c r="H103" s="1">
        <v>586.33000000000004</v>
      </c>
    </row>
    <row r="104" spans="2:8" x14ac:dyDescent="0.2">
      <c r="B104" s="15" t="s">
        <v>36</v>
      </c>
      <c r="C104" s="15">
        <v>2034</v>
      </c>
      <c r="D104" s="104">
        <f>D103-E104</f>
        <v>24660.899999999972</v>
      </c>
      <c r="E104" s="104">
        <f t="shared" si="5"/>
        <v>507.69000000000011</v>
      </c>
      <c r="F104" s="104">
        <f t="shared" si="4"/>
        <v>67.819999999999993</v>
      </c>
      <c r="G104" s="104">
        <f t="shared" si="6"/>
        <v>9.43</v>
      </c>
      <c r="H104" s="1">
        <v>586.33000000000004</v>
      </c>
    </row>
    <row r="105" spans="2:8" x14ac:dyDescent="0.2">
      <c r="B105" s="15" t="s">
        <v>37</v>
      </c>
      <c r="C105" s="15">
        <v>2034</v>
      </c>
      <c r="D105" s="104">
        <f>D104-E105</f>
        <v>24151.819999999971</v>
      </c>
      <c r="E105" s="104">
        <f t="shared" si="5"/>
        <v>509.0800000000001</v>
      </c>
      <c r="F105" s="104">
        <f t="shared" si="4"/>
        <v>66.42</v>
      </c>
      <c r="G105" s="104">
        <f t="shared" si="6"/>
        <v>9.43</v>
      </c>
      <c r="H105" s="1">
        <v>586.33000000000004</v>
      </c>
    </row>
    <row r="106" spans="2:8" x14ac:dyDescent="0.2">
      <c r="B106" s="15" t="s">
        <v>38</v>
      </c>
      <c r="C106" s="15">
        <v>2034</v>
      </c>
      <c r="D106" s="104">
        <f>D105-E106</f>
        <v>23641.339999999971</v>
      </c>
      <c r="E106" s="104">
        <f t="shared" si="5"/>
        <v>510.48000000000008</v>
      </c>
      <c r="F106" s="104">
        <f t="shared" si="4"/>
        <v>65.010000000000005</v>
      </c>
      <c r="G106" s="104">
        <f t="shared" si="6"/>
        <v>9.43</v>
      </c>
      <c r="H106" s="1">
        <v>586.33000000000004</v>
      </c>
    </row>
    <row r="107" spans="2:8" x14ac:dyDescent="0.2">
      <c r="B107" s="15" t="s">
        <v>39</v>
      </c>
      <c r="C107" s="15">
        <v>2034</v>
      </c>
      <c r="D107" s="104">
        <f>D106-E107</f>
        <v>23129.449999999972</v>
      </c>
      <c r="E107" s="104">
        <f t="shared" si="5"/>
        <v>511.8900000000001</v>
      </c>
      <c r="F107" s="104">
        <f t="shared" si="4"/>
        <v>63.61</v>
      </c>
      <c r="G107" s="104">
        <f t="shared" si="6"/>
        <v>9.43</v>
      </c>
      <c r="H107" s="1">
        <v>586.33000000000004</v>
      </c>
    </row>
    <row r="108" spans="2:8" x14ac:dyDescent="0.2">
      <c r="B108" s="15" t="s">
        <v>40</v>
      </c>
      <c r="C108" s="15">
        <v>2034</v>
      </c>
      <c r="D108" s="104">
        <f>D107-E108</f>
        <v>22616.159999999971</v>
      </c>
      <c r="E108" s="104">
        <f t="shared" si="5"/>
        <v>513.29000000000008</v>
      </c>
      <c r="F108" s="104">
        <f t="shared" si="4"/>
        <v>62.19</v>
      </c>
      <c r="G108" s="104">
        <f t="shared" si="6"/>
        <v>9.43</v>
      </c>
      <c r="H108" s="1">
        <v>586.33000000000004</v>
      </c>
    </row>
    <row r="109" spans="2:8" x14ac:dyDescent="0.2">
      <c r="B109" s="15" t="s">
        <v>41</v>
      </c>
      <c r="C109" s="15">
        <v>2034</v>
      </c>
      <c r="D109" s="104">
        <f>D108-E109</f>
        <v>22101.449999999972</v>
      </c>
      <c r="E109" s="104">
        <f t="shared" si="5"/>
        <v>514.71</v>
      </c>
      <c r="F109" s="104">
        <f t="shared" si="4"/>
        <v>60.78</v>
      </c>
      <c r="G109" s="104">
        <f t="shared" si="6"/>
        <v>9.43</v>
      </c>
      <c r="H109" s="1">
        <v>586.33000000000004</v>
      </c>
    </row>
    <row r="110" spans="2:8" x14ac:dyDescent="0.2">
      <c r="B110" s="15" t="s">
        <v>30</v>
      </c>
      <c r="C110" s="15">
        <v>2034</v>
      </c>
      <c r="D110" s="104">
        <f>D109-E110</f>
        <v>21585.329999999973</v>
      </c>
      <c r="E110" s="104">
        <f t="shared" si="5"/>
        <v>516.12000000000012</v>
      </c>
      <c r="F110" s="104">
        <f t="shared" si="4"/>
        <v>59.36</v>
      </c>
      <c r="G110" s="104">
        <f t="shared" si="6"/>
        <v>9.43</v>
      </c>
      <c r="H110" s="1">
        <v>586.33000000000004</v>
      </c>
    </row>
    <row r="111" spans="2:8" x14ac:dyDescent="0.2">
      <c r="B111" s="15" t="s">
        <v>31</v>
      </c>
      <c r="C111" s="15">
        <v>2035</v>
      </c>
      <c r="D111" s="104">
        <f>D110-E111</f>
        <v>21067.789999999972</v>
      </c>
      <c r="E111" s="104">
        <f t="shared" si="5"/>
        <v>517.54000000000008</v>
      </c>
      <c r="F111" s="104">
        <f t="shared" si="4"/>
        <v>57.94</v>
      </c>
      <c r="G111" s="104">
        <f t="shared" si="6"/>
        <v>9.43</v>
      </c>
      <c r="H111" s="1">
        <v>586.33000000000004</v>
      </c>
    </row>
    <row r="112" spans="2:8" x14ac:dyDescent="0.2">
      <c r="B112" s="15" t="s">
        <v>32</v>
      </c>
      <c r="C112" s="15">
        <v>2035</v>
      </c>
      <c r="D112" s="104">
        <f>D111-E112</f>
        <v>20548.829999999973</v>
      </c>
      <c r="E112" s="104">
        <f t="shared" si="5"/>
        <v>518.96</v>
      </c>
      <c r="F112" s="104">
        <f t="shared" si="4"/>
        <v>56.51</v>
      </c>
      <c r="G112" s="104">
        <f t="shared" si="6"/>
        <v>9.43</v>
      </c>
      <c r="H112" s="1">
        <v>586.33000000000004</v>
      </c>
    </row>
    <row r="113" spans="2:8" x14ac:dyDescent="0.2">
      <c r="B113" s="15" t="s">
        <v>33</v>
      </c>
      <c r="C113" s="15">
        <v>2035</v>
      </c>
      <c r="D113" s="104">
        <f>D112-E113</f>
        <v>20028.439999999973</v>
      </c>
      <c r="E113" s="104">
        <f t="shared" si="5"/>
        <v>520.3900000000001</v>
      </c>
      <c r="F113" s="104">
        <f t="shared" si="4"/>
        <v>55.08</v>
      </c>
      <c r="G113" s="104">
        <f t="shared" si="6"/>
        <v>9.43</v>
      </c>
      <c r="H113" s="1">
        <v>585.17999999999995</v>
      </c>
    </row>
    <row r="114" spans="2:8" x14ac:dyDescent="0.2">
      <c r="B114" s="15" t="s">
        <v>34</v>
      </c>
      <c r="C114" s="15">
        <v>2035</v>
      </c>
      <c r="D114" s="104">
        <f>D113-E114</f>
        <v>19507.769999999975</v>
      </c>
      <c r="E114" s="104">
        <f t="shared" si="5"/>
        <v>520.66999999999996</v>
      </c>
      <c r="F114" s="104">
        <f t="shared" si="4"/>
        <v>53.65</v>
      </c>
      <c r="G114" s="104">
        <f t="shared" si="6"/>
        <v>9.43</v>
      </c>
      <c r="H114" s="1">
        <v>585.17999999999995</v>
      </c>
    </row>
    <row r="115" spans="2:8" x14ac:dyDescent="0.2">
      <c r="B115" s="15" t="s">
        <v>35</v>
      </c>
      <c r="C115" s="15">
        <v>2035</v>
      </c>
      <c r="D115" s="104">
        <f>D114-E115</f>
        <v>18985.669999999976</v>
      </c>
      <c r="E115" s="104">
        <f t="shared" si="5"/>
        <v>522.1</v>
      </c>
      <c r="F115" s="104">
        <f t="shared" si="4"/>
        <v>52.21</v>
      </c>
      <c r="G115" s="104">
        <f t="shared" si="6"/>
        <v>9.43</v>
      </c>
      <c r="H115" s="1">
        <v>585.17999999999995</v>
      </c>
    </row>
    <row r="116" spans="2:8" x14ac:dyDescent="0.2">
      <c r="B116" s="15" t="s">
        <v>36</v>
      </c>
      <c r="C116" s="15">
        <v>2035</v>
      </c>
      <c r="D116" s="104">
        <f>D115-E116</f>
        <v>18462.129999999976</v>
      </c>
      <c r="E116" s="104">
        <f t="shared" si="5"/>
        <v>523.54</v>
      </c>
      <c r="F116" s="104">
        <f t="shared" si="4"/>
        <v>50.77</v>
      </c>
      <c r="G116" s="104">
        <f t="shared" si="6"/>
        <v>9.43</v>
      </c>
      <c r="H116" s="1">
        <v>585.17999999999995</v>
      </c>
    </row>
    <row r="117" spans="2:8" x14ac:dyDescent="0.2">
      <c r="B117" s="15" t="s">
        <v>37</v>
      </c>
      <c r="C117" s="15">
        <v>2035</v>
      </c>
      <c r="D117" s="104">
        <f>D116-E117</f>
        <v>17937.149999999976</v>
      </c>
      <c r="E117" s="104">
        <f t="shared" si="5"/>
        <v>524.98</v>
      </c>
      <c r="F117" s="104">
        <f t="shared" si="4"/>
        <v>49.33</v>
      </c>
      <c r="G117" s="104">
        <f t="shared" si="6"/>
        <v>9.43</v>
      </c>
      <c r="H117" s="1">
        <v>585.17999999999995</v>
      </c>
    </row>
    <row r="118" spans="2:8" x14ac:dyDescent="0.2">
      <c r="B118" s="15" t="s">
        <v>38</v>
      </c>
      <c r="C118" s="15">
        <v>2035</v>
      </c>
      <c r="D118" s="104">
        <f>D117-E118</f>
        <v>17410.729999999978</v>
      </c>
      <c r="E118" s="104">
        <f t="shared" si="5"/>
        <v>526.41999999999996</v>
      </c>
      <c r="F118" s="104">
        <f t="shared" si="4"/>
        <v>47.88</v>
      </c>
      <c r="G118" s="104">
        <f t="shared" si="6"/>
        <v>9.43</v>
      </c>
      <c r="H118" s="1">
        <v>585.17999999999995</v>
      </c>
    </row>
    <row r="119" spans="2:8" x14ac:dyDescent="0.2">
      <c r="B119" s="15" t="s">
        <v>39</v>
      </c>
      <c r="C119" s="15">
        <v>2035</v>
      </c>
      <c r="D119" s="104">
        <f>D118-E119</f>
        <v>16882.859999999979</v>
      </c>
      <c r="E119" s="104">
        <f t="shared" si="5"/>
        <v>527.87</v>
      </c>
      <c r="F119" s="104">
        <f t="shared" si="4"/>
        <v>46.43</v>
      </c>
      <c r="G119" s="104">
        <f t="shared" si="6"/>
        <v>9.43</v>
      </c>
      <c r="H119" s="1">
        <v>585.17999999999995</v>
      </c>
    </row>
    <row r="120" spans="2:8" x14ac:dyDescent="0.2">
      <c r="B120" s="15" t="s">
        <v>40</v>
      </c>
      <c r="C120" s="15">
        <v>2035</v>
      </c>
      <c r="D120" s="104">
        <f>D119-E120</f>
        <v>16353.539999999979</v>
      </c>
      <c r="E120" s="104">
        <f t="shared" si="5"/>
        <v>529.32000000000005</v>
      </c>
      <c r="F120" s="104">
        <f t="shared" si="4"/>
        <v>44.97</v>
      </c>
      <c r="G120" s="104">
        <f t="shared" si="6"/>
        <v>9.43</v>
      </c>
      <c r="H120" s="1">
        <v>585.17999999999995</v>
      </c>
    </row>
    <row r="121" spans="2:8" x14ac:dyDescent="0.2">
      <c r="B121" s="15" t="s">
        <v>41</v>
      </c>
      <c r="C121" s="15">
        <v>2035</v>
      </c>
      <c r="D121" s="104">
        <f>D120-E121</f>
        <v>15822.759999999978</v>
      </c>
      <c r="E121" s="104">
        <f t="shared" si="5"/>
        <v>530.78</v>
      </c>
      <c r="F121" s="104">
        <f t="shared" si="4"/>
        <v>43.51</v>
      </c>
      <c r="G121" s="104">
        <f t="shared" si="6"/>
        <v>9.43</v>
      </c>
      <c r="H121" s="1">
        <v>585.17999999999995</v>
      </c>
    </row>
    <row r="122" spans="2:8" x14ac:dyDescent="0.2">
      <c r="B122" s="15" t="s">
        <v>30</v>
      </c>
      <c r="C122" s="15">
        <v>2035</v>
      </c>
      <c r="D122" s="104">
        <f>D121-E122</f>
        <v>15290.519999999979</v>
      </c>
      <c r="E122" s="104">
        <f t="shared" si="5"/>
        <v>532.24</v>
      </c>
      <c r="F122" s="104">
        <f t="shared" si="4"/>
        <v>42.05</v>
      </c>
      <c r="G122" s="104">
        <f t="shared" si="6"/>
        <v>9.43</v>
      </c>
      <c r="H122" s="1">
        <v>585.17999999999995</v>
      </c>
    </row>
    <row r="123" spans="2:8" x14ac:dyDescent="0.2">
      <c r="B123" s="15" t="s">
        <v>31</v>
      </c>
      <c r="C123" s="15">
        <v>2036</v>
      </c>
      <c r="D123" s="104">
        <f>D122-E123</f>
        <v>14756.819999999978</v>
      </c>
      <c r="E123" s="104">
        <f t="shared" si="5"/>
        <v>533.70000000000005</v>
      </c>
      <c r="F123" s="104">
        <f t="shared" si="4"/>
        <v>40.58</v>
      </c>
      <c r="G123" s="104">
        <f t="shared" si="6"/>
        <v>9.43</v>
      </c>
      <c r="H123" s="1">
        <v>585.17999999999995</v>
      </c>
    </row>
    <row r="124" spans="2:8" x14ac:dyDescent="0.2">
      <c r="B124" s="15" t="s">
        <v>32</v>
      </c>
      <c r="C124" s="15">
        <v>2036</v>
      </c>
      <c r="D124" s="104">
        <f>D123-E124</f>
        <v>14221.649999999978</v>
      </c>
      <c r="E124" s="104">
        <f t="shared" si="5"/>
        <v>535.16999999999996</v>
      </c>
      <c r="F124" s="104">
        <f t="shared" si="4"/>
        <v>39.11</v>
      </c>
      <c r="G124" s="104">
        <f t="shared" si="6"/>
        <v>9.43</v>
      </c>
      <c r="H124" s="1">
        <v>585.17999999999995</v>
      </c>
    </row>
    <row r="125" spans="2:8" x14ac:dyDescent="0.2">
      <c r="B125" s="15" t="s">
        <v>33</v>
      </c>
      <c r="C125" s="15">
        <v>2036</v>
      </c>
      <c r="D125" s="104">
        <f>D124-E125</f>
        <v>13685.009999999978</v>
      </c>
      <c r="E125" s="104">
        <f t="shared" si="5"/>
        <v>536.64</v>
      </c>
      <c r="F125" s="104">
        <f t="shared" si="4"/>
        <v>37.630000000000003</v>
      </c>
      <c r="G125" s="104">
        <f t="shared" si="6"/>
        <v>9.43</v>
      </c>
      <c r="H125" s="1">
        <v>585.17999999999995</v>
      </c>
    </row>
    <row r="126" spans="2:8" x14ac:dyDescent="0.2">
      <c r="B126" s="15" t="s">
        <v>34</v>
      </c>
      <c r="C126" s="15">
        <v>2036</v>
      </c>
      <c r="D126" s="104">
        <f>D125-E126</f>
        <v>13146.889999999978</v>
      </c>
      <c r="E126" s="104">
        <f t="shared" si="5"/>
        <v>538.12</v>
      </c>
      <c r="F126" s="104">
        <f t="shared" si="4"/>
        <v>36.15</v>
      </c>
      <c r="G126" s="104">
        <f t="shared" si="6"/>
        <v>9.43</v>
      </c>
      <c r="H126" s="1">
        <v>583.88</v>
      </c>
    </row>
    <row r="127" spans="2:8" x14ac:dyDescent="0.2">
      <c r="B127" s="15" t="s">
        <v>35</v>
      </c>
      <c r="C127" s="15">
        <v>2036</v>
      </c>
      <c r="D127" s="104">
        <f>D126-E127</f>
        <v>12608.589999999978</v>
      </c>
      <c r="E127" s="104">
        <f t="shared" si="5"/>
        <v>538.30000000000007</v>
      </c>
      <c r="F127" s="104">
        <f t="shared" si="4"/>
        <v>34.67</v>
      </c>
      <c r="G127" s="104">
        <f t="shared" si="6"/>
        <v>9.43</v>
      </c>
      <c r="H127" s="1">
        <v>583.88</v>
      </c>
    </row>
    <row r="128" spans="2:8" x14ac:dyDescent="0.2">
      <c r="B128" s="15" t="s">
        <v>36</v>
      </c>
      <c r="C128" s="15">
        <v>2036</v>
      </c>
      <c r="D128" s="104">
        <f>D127-E128</f>
        <v>12068.809999999978</v>
      </c>
      <c r="E128" s="104">
        <f t="shared" si="5"/>
        <v>539.78000000000009</v>
      </c>
      <c r="F128" s="104">
        <f t="shared" si="4"/>
        <v>33.19</v>
      </c>
      <c r="G128" s="104">
        <f t="shared" si="6"/>
        <v>9.43</v>
      </c>
      <c r="H128" s="1">
        <v>583.88</v>
      </c>
    </row>
    <row r="129" spans="2:8" x14ac:dyDescent="0.2">
      <c r="B129" s="15" t="s">
        <v>37</v>
      </c>
      <c r="C129" s="15">
        <v>2036</v>
      </c>
      <c r="D129" s="104">
        <f>D128-E129</f>
        <v>11527.549999999977</v>
      </c>
      <c r="E129" s="104">
        <f t="shared" si="5"/>
        <v>541.26</v>
      </c>
      <c r="F129" s="104">
        <f t="shared" si="4"/>
        <v>31.7</v>
      </c>
      <c r="G129" s="104">
        <f t="shared" si="6"/>
        <v>9.43</v>
      </c>
      <c r="H129" s="1">
        <v>583.88</v>
      </c>
    </row>
    <row r="130" spans="2:8" x14ac:dyDescent="0.2">
      <c r="B130" s="15" t="s">
        <v>38</v>
      </c>
      <c r="C130" s="15">
        <v>2036</v>
      </c>
      <c r="D130" s="104">
        <f>D129-E130</f>
        <v>10984.799999999977</v>
      </c>
      <c r="E130" s="104">
        <f t="shared" si="5"/>
        <v>542.75</v>
      </c>
      <c r="F130" s="104">
        <f t="shared" si="4"/>
        <v>30.21</v>
      </c>
      <c r="G130" s="104">
        <f t="shared" si="6"/>
        <v>9.43</v>
      </c>
      <c r="H130" s="1">
        <v>583.88</v>
      </c>
    </row>
    <row r="131" spans="2:8" x14ac:dyDescent="0.2">
      <c r="B131" s="15" t="s">
        <v>39</v>
      </c>
      <c r="C131" s="15">
        <v>2036</v>
      </c>
      <c r="D131" s="104">
        <f>D130-E131</f>
        <v>10440.559999999978</v>
      </c>
      <c r="E131" s="104">
        <f t="shared" si="5"/>
        <v>544.24</v>
      </c>
      <c r="F131" s="104">
        <f t="shared" si="4"/>
        <v>28.71</v>
      </c>
      <c r="G131" s="104">
        <f t="shared" si="6"/>
        <v>9.43</v>
      </c>
      <c r="H131" s="1">
        <v>583.88</v>
      </c>
    </row>
    <row r="132" spans="2:8" x14ac:dyDescent="0.2">
      <c r="B132" s="15" t="s">
        <v>40</v>
      </c>
      <c r="C132" s="15">
        <v>2036</v>
      </c>
      <c r="D132" s="104">
        <f>D131-E132</f>
        <v>9894.8199999999779</v>
      </c>
      <c r="E132" s="104">
        <f t="shared" si="5"/>
        <v>545.74</v>
      </c>
      <c r="F132" s="104">
        <f t="shared" si="4"/>
        <v>27.21</v>
      </c>
      <c r="G132" s="104">
        <f t="shared" si="6"/>
        <v>9.43</v>
      </c>
      <c r="H132" s="1">
        <v>583.88</v>
      </c>
    </row>
    <row r="133" spans="2:8" x14ac:dyDescent="0.2">
      <c r="B133" s="15" t="s">
        <v>41</v>
      </c>
      <c r="C133" s="15">
        <v>2036</v>
      </c>
      <c r="D133" s="104">
        <f>D132-E133</f>
        <v>9347.5799999999781</v>
      </c>
      <c r="E133" s="104">
        <f t="shared" si="5"/>
        <v>547.24</v>
      </c>
      <c r="F133" s="104">
        <f t="shared" si="4"/>
        <v>25.71</v>
      </c>
      <c r="G133" s="104">
        <f t="shared" si="6"/>
        <v>9.43</v>
      </c>
      <c r="H133" s="1">
        <v>583.88</v>
      </c>
    </row>
    <row r="134" spans="2:8" x14ac:dyDescent="0.2">
      <c r="B134" s="15" t="s">
        <v>30</v>
      </c>
      <c r="C134" s="15">
        <v>2036</v>
      </c>
      <c r="D134" s="104">
        <f>D133-E134</f>
        <v>8798.8399999999783</v>
      </c>
      <c r="E134" s="104">
        <f t="shared" si="5"/>
        <v>548.74</v>
      </c>
      <c r="F134" s="104">
        <f t="shared" si="4"/>
        <v>24.2</v>
      </c>
      <c r="G134" s="104">
        <f t="shared" si="6"/>
        <v>9.43</v>
      </c>
      <c r="H134" s="1">
        <v>583.88</v>
      </c>
    </row>
    <row r="135" spans="2:8" x14ac:dyDescent="0.2">
      <c r="B135" s="15" t="s">
        <v>31</v>
      </c>
      <c r="C135" s="15">
        <v>2037</v>
      </c>
      <c r="D135" s="104">
        <f>D134-E135</f>
        <v>8248.5899999999783</v>
      </c>
      <c r="E135" s="104">
        <f t="shared" si="5"/>
        <v>550.25</v>
      </c>
      <c r="F135" s="104">
        <f t="shared" ref="F135:F148" si="7">ROUND(D135*J$5/12,2)</f>
        <v>22.68</v>
      </c>
      <c r="G135" s="104">
        <f t="shared" si="6"/>
        <v>9.43</v>
      </c>
      <c r="H135" s="1">
        <v>583.88</v>
      </c>
    </row>
    <row r="136" spans="2:8" x14ac:dyDescent="0.2">
      <c r="B136" s="15" t="s">
        <v>32</v>
      </c>
      <c r="C136" s="15">
        <v>2037</v>
      </c>
      <c r="D136" s="104">
        <f>D135-E136</f>
        <v>7696.8199999999779</v>
      </c>
      <c r="E136" s="104">
        <f t="shared" ref="E136:E148" si="8">H135-G135-F135</f>
        <v>551.7700000000001</v>
      </c>
      <c r="F136" s="104">
        <f t="shared" si="7"/>
        <v>21.17</v>
      </c>
      <c r="G136" s="104">
        <f t="shared" si="6"/>
        <v>9.43</v>
      </c>
      <c r="H136" s="1">
        <v>582.49</v>
      </c>
    </row>
    <row r="137" spans="2:8" x14ac:dyDescent="0.2">
      <c r="B137" s="15" t="s">
        <v>33</v>
      </c>
      <c r="C137" s="15">
        <v>2037</v>
      </c>
      <c r="D137" s="104">
        <f>D136-E137</f>
        <v>7144.9299999999776</v>
      </c>
      <c r="E137" s="104">
        <f t="shared" si="8"/>
        <v>551.8900000000001</v>
      </c>
      <c r="F137" s="104">
        <f t="shared" si="7"/>
        <v>19.649999999999999</v>
      </c>
      <c r="G137" s="104">
        <f t="shared" si="6"/>
        <v>9.43</v>
      </c>
      <c r="H137" s="1">
        <v>582.49</v>
      </c>
    </row>
    <row r="138" spans="2:8" x14ac:dyDescent="0.2">
      <c r="B138" s="15" t="s">
        <v>34</v>
      </c>
      <c r="C138" s="15">
        <v>2037</v>
      </c>
      <c r="D138" s="104">
        <f>D137-E138</f>
        <v>6591.5199999999777</v>
      </c>
      <c r="E138" s="104">
        <f t="shared" si="8"/>
        <v>553.41000000000008</v>
      </c>
      <c r="F138" s="104">
        <f t="shared" si="7"/>
        <v>18.13</v>
      </c>
      <c r="G138" s="104">
        <f t="shared" si="6"/>
        <v>9.43</v>
      </c>
      <c r="H138" s="1">
        <v>582.49</v>
      </c>
    </row>
    <row r="139" spans="2:8" x14ac:dyDescent="0.2">
      <c r="B139" s="15" t="s">
        <v>35</v>
      </c>
      <c r="C139" s="15">
        <v>2037</v>
      </c>
      <c r="D139" s="104">
        <f>D138-E139</f>
        <v>6036.5899999999774</v>
      </c>
      <c r="E139" s="104">
        <f t="shared" si="8"/>
        <v>554.93000000000006</v>
      </c>
      <c r="F139" s="104">
        <f t="shared" si="7"/>
        <v>16.600000000000001</v>
      </c>
      <c r="G139" s="104">
        <f t="shared" si="6"/>
        <v>9.43</v>
      </c>
      <c r="H139" s="1">
        <v>582.49</v>
      </c>
    </row>
    <row r="140" spans="2:8" x14ac:dyDescent="0.2">
      <c r="B140" s="15" t="s">
        <v>36</v>
      </c>
      <c r="C140" s="15">
        <v>2037</v>
      </c>
      <c r="D140" s="104">
        <f>D139-E140</f>
        <v>5480.1299999999774</v>
      </c>
      <c r="E140" s="104">
        <f t="shared" si="8"/>
        <v>556.46</v>
      </c>
      <c r="F140" s="104">
        <f t="shared" si="7"/>
        <v>15.07</v>
      </c>
      <c r="G140" s="104">
        <f t="shared" si="6"/>
        <v>9.43</v>
      </c>
      <c r="H140" s="1">
        <v>582.49</v>
      </c>
    </row>
    <row r="141" spans="2:8" x14ac:dyDescent="0.2">
      <c r="B141" s="15" t="s">
        <v>37</v>
      </c>
      <c r="C141" s="15">
        <v>2037</v>
      </c>
      <c r="D141" s="104">
        <f>D140-E141</f>
        <v>4922.1399999999776</v>
      </c>
      <c r="E141" s="104">
        <f t="shared" si="8"/>
        <v>557.99</v>
      </c>
      <c r="F141" s="104">
        <f t="shared" si="7"/>
        <v>13.54</v>
      </c>
      <c r="G141" s="104">
        <f t="shared" si="6"/>
        <v>9.43</v>
      </c>
      <c r="H141" s="1">
        <v>582.49</v>
      </c>
    </row>
    <row r="142" spans="2:8" x14ac:dyDescent="0.2">
      <c r="B142" s="15" t="s">
        <v>38</v>
      </c>
      <c r="C142" s="15">
        <v>2037</v>
      </c>
      <c r="D142" s="104">
        <f>D141-E142</f>
        <v>4362.6199999999772</v>
      </c>
      <c r="E142" s="104">
        <f t="shared" si="8"/>
        <v>559.5200000000001</v>
      </c>
      <c r="F142" s="104">
        <f t="shared" si="7"/>
        <v>12</v>
      </c>
      <c r="G142" s="104">
        <f t="shared" si="6"/>
        <v>9.43</v>
      </c>
      <c r="H142" s="1">
        <v>582.49</v>
      </c>
    </row>
    <row r="143" spans="2:8" x14ac:dyDescent="0.2">
      <c r="B143" s="15" t="s">
        <v>39</v>
      </c>
      <c r="C143" s="15">
        <v>2037</v>
      </c>
      <c r="D143" s="104">
        <f>D142-E143</f>
        <v>3801.5599999999772</v>
      </c>
      <c r="E143" s="104">
        <f t="shared" si="8"/>
        <v>561.06000000000006</v>
      </c>
      <c r="F143" s="104">
        <f t="shared" si="7"/>
        <v>10.45</v>
      </c>
      <c r="G143" s="104">
        <f t="shared" si="6"/>
        <v>9.43</v>
      </c>
      <c r="H143" s="1">
        <v>582.49</v>
      </c>
    </row>
    <row r="144" spans="2:8" x14ac:dyDescent="0.2">
      <c r="B144" s="15" t="s">
        <v>40</v>
      </c>
      <c r="C144" s="15">
        <v>2037</v>
      </c>
      <c r="D144" s="104">
        <f>D143-E144</f>
        <v>3238.9499999999771</v>
      </c>
      <c r="E144" s="104">
        <f t="shared" si="8"/>
        <v>562.61</v>
      </c>
      <c r="F144" s="104">
        <f t="shared" si="7"/>
        <v>8.91</v>
      </c>
      <c r="G144" s="104">
        <f t="shared" si="6"/>
        <v>9.43</v>
      </c>
      <c r="H144" s="1">
        <v>582.49</v>
      </c>
    </row>
    <row r="145" spans="2:8" x14ac:dyDescent="0.2">
      <c r="B145" s="15" t="s">
        <v>41</v>
      </c>
      <c r="C145" s="15">
        <v>2037</v>
      </c>
      <c r="D145" s="104">
        <f>D144-E145</f>
        <v>2674.799999999977</v>
      </c>
      <c r="E145" s="104">
        <f t="shared" si="8"/>
        <v>564.15000000000009</v>
      </c>
      <c r="F145" s="104">
        <f t="shared" si="7"/>
        <v>7.36</v>
      </c>
      <c r="G145" s="104">
        <f t="shared" ref="G145:G148" si="9">9.43</f>
        <v>9.43</v>
      </c>
      <c r="H145" s="1">
        <v>582.49</v>
      </c>
    </row>
    <row r="146" spans="2:8" x14ac:dyDescent="0.2">
      <c r="B146" s="15" t="s">
        <v>30</v>
      </c>
      <c r="C146" s="15">
        <v>2037</v>
      </c>
      <c r="D146" s="104">
        <f>D145-E146</f>
        <v>2109.0999999999767</v>
      </c>
      <c r="E146" s="104">
        <f t="shared" si="8"/>
        <v>565.70000000000005</v>
      </c>
      <c r="F146" s="104">
        <f t="shared" si="7"/>
        <v>5.8</v>
      </c>
      <c r="G146" s="104">
        <f t="shared" si="9"/>
        <v>9.43</v>
      </c>
      <c r="H146" s="1">
        <v>582.49</v>
      </c>
    </row>
    <row r="147" spans="2:8" x14ac:dyDescent="0.2">
      <c r="B147" s="15" t="s">
        <v>31</v>
      </c>
      <c r="C147" s="15">
        <v>2038</v>
      </c>
      <c r="D147" s="104">
        <f>D146-E147</f>
        <v>1541.8399999999765</v>
      </c>
      <c r="E147" s="104">
        <f t="shared" si="8"/>
        <v>567.2600000000001</v>
      </c>
      <c r="F147" s="104">
        <f t="shared" si="7"/>
        <v>4.24</v>
      </c>
      <c r="G147" s="104">
        <f t="shared" si="9"/>
        <v>9.43</v>
      </c>
      <c r="H147" s="1">
        <v>582.49</v>
      </c>
    </row>
    <row r="148" spans="2:8" x14ac:dyDescent="0.2">
      <c r="B148" s="15" t="s">
        <v>32</v>
      </c>
      <c r="C148" s="15">
        <v>2038</v>
      </c>
      <c r="D148" s="104">
        <f>D147-E148</f>
        <v>973.01999999997645</v>
      </c>
      <c r="E148" s="104">
        <f t="shared" si="8"/>
        <v>568.82000000000005</v>
      </c>
      <c r="F148" s="104">
        <f t="shared" si="7"/>
        <v>2.68</v>
      </c>
      <c r="G148" s="104">
        <f t="shared" si="9"/>
        <v>9.43</v>
      </c>
      <c r="H148" s="1">
        <v>582.97</v>
      </c>
    </row>
    <row r="149" spans="2:8" x14ac:dyDescent="0.2">
      <c r="B149" s="15" t="s">
        <v>33</v>
      </c>
    </row>
  </sheetData>
  <mergeCells count="1">
    <mergeCell ref="B2:H2"/>
  </mergeCells>
  <pageMargins left="0.7" right="0.7" top="0.75" bottom="0.75" header="0.3" footer="0.3"/>
  <pageSetup paperSize="9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yracuseOfficeCustomData>{"createMode":"plain_doc","forceRefresh":"0"}</SyracuseOfficeCustomData>
</file>

<file path=customXml/item2.xml>��
</file>

<file path=customXml/itemProps1.xml><?xml version="1.0" encoding="utf-8"?>
<ds:datastoreItem xmlns:ds="http://schemas.openxmlformats.org/officeDocument/2006/customXml" ds:itemID="{FA8B1F23-4628-4A89-91DD-7AF3974F5C58}">
  <ds:schemaRefs/>
</ds:datastoreItem>
</file>

<file path=customXml/itemProps2.xml><?xml version="1.0" encoding="utf-8"?>
<ds:datastoreItem xmlns:ds="http://schemas.openxmlformats.org/officeDocument/2006/customXml" ds:itemID="{76B40DFF-338A-41FB-A150-D21D5635B6A4}">
  <ds:schemaRefs>
    <ds:schemaRef ds:uri="urn:schemas-microsoft-com.SixFinancial.FinX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2</vt:i4>
      </vt:variant>
    </vt:vector>
  </HeadingPairs>
  <TitlesOfParts>
    <vt:vector size="9" baseType="lpstr">
      <vt:lpstr>Vision patrimoine</vt:lpstr>
      <vt:lpstr>Amort Beneduc</vt:lpstr>
      <vt:lpstr>Amort SCI La vista</vt:lpstr>
      <vt:lpstr>Amort Libération</vt:lpstr>
      <vt:lpstr>Amort Troika</vt:lpstr>
      <vt:lpstr>Residence Principale</vt:lpstr>
      <vt:lpstr>Bd liberation Beneduc</vt:lpstr>
      <vt:lpstr>année</vt:lpstr>
      <vt:lpstr>mois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Meriem Zahzouh</cp:lastModifiedBy>
  <cp:lastPrinted>2025-12-15T08:59:59Z</cp:lastPrinted>
  <dcterms:created xsi:type="dcterms:W3CDTF">2021-10-28T11:01:23Z</dcterms:created>
  <dcterms:modified xsi:type="dcterms:W3CDTF">2026-04-05T10:15:56Z</dcterms:modified>
</cp:coreProperties>
</file>